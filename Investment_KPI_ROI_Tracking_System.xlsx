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385" windowHeight="7995" firstSheet="5" activeTab="9"/>
  </bookViews>
  <sheets>
    <sheet name="Raw_Data" sheetId="1" r:id="rId1"/>
    <sheet name="Investment_Master" sheetId="2" r:id="rId2"/>
    <sheet name="ROI_Analysis" sheetId="3" r:id="rId3"/>
    <sheet name="NPV_IRR" sheetId="4" r:id="rId4"/>
    <sheet name="Budget_vs_Actual" sheetId="5" r:id="rId5"/>
    <sheet name="Department_Analysis" sheetId="6" r:id="rId6"/>
    <sheet name="Risk_Return" sheetId="7" r:id="rId7"/>
    <sheet name="Scenario_Analysis" sheetId="8" r:id="rId8"/>
    <sheet name="KPI_Summary" sheetId="9" r:id="rId9"/>
    <sheet name="Dashboard" sheetId="10" r:id="rId10"/>
  </sheets>
  <definedNames>
    <definedName name="_xlnm._FilterDatabase" localSheetId="1" hidden="1">Investment_Master!$A$4:$AH$154</definedName>
  </definedNames>
  <calcPr calcId="162913" iterateDelta="1E-4"/>
  <fileRecoveryPr repairLoad="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44" i="5" l="1"/>
  <c r="C154" i="3"/>
  <c r="A151" i="3"/>
  <c r="C150" i="3"/>
  <c r="C148" i="3"/>
  <c r="A147" i="3"/>
  <c r="C146" i="3"/>
  <c r="C144" i="3"/>
  <c r="A143" i="3"/>
  <c r="C142" i="3"/>
  <c r="C140" i="3"/>
  <c r="A139" i="3"/>
  <c r="C138" i="3"/>
  <c r="C136" i="3"/>
  <c r="A135" i="3"/>
  <c r="C134" i="3"/>
  <c r="A131" i="3"/>
  <c r="AA154" i="2"/>
  <c r="Z154" i="2"/>
  <c r="T154" i="2"/>
  <c r="G154" i="3" s="1"/>
  <c r="O154" i="2"/>
  <c r="AE154" i="2" s="1"/>
  <c r="N154" i="2"/>
  <c r="M154" i="2"/>
  <c r="Q154" i="2" s="1"/>
  <c r="L154" i="2"/>
  <c r="P154" i="2" s="1"/>
  <c r="K154" i="2"/>
  <c r="E154" i="5" s="1"/>
  <c r="I154" i="2"/>
  <c r="H154" i="2"/>
  <c r="J154" i="2" s="1"/>
  <c r="G154" i="2"/>
  <c r="F154" i="2"/>
  <c r="E154" i="2"/>
  <c r="D154" i="2"/>
  <c r="Y154" i="2" s="1"/>
  <c r="C154" i="2"/>
  <c r="C154" i="5" s="1"/>
  <c r="B154" i="2"/>
  <c r="A154" i="2"/>
  <c r="AD153" i="2"/>
  <c r="AA153" i="2"/>
  <c r="Z153" i="2"/>
  <c r="O153" i="2"/>
  <c r="AE153" i="2" s="1"/>
  <c r="N153" i="2"/>
  <c r="M153" i="2"/>
  <c r="Q153" i="2" s="1"/>
  <c r="L153" i="2"/>
  <c r="P153" i="2" s="1"/>
  <c r="K153" i="2"/>
  <c r="E153" i="5" s="1"/>
  <c r="J153" i="2"/>
  <c r="AF153" i="2" s="1"/>
  <c r="I153" i="2"/>
  <c r="H153" i="2"/>
  <c r="G153" i="2"/>
  <c r="F153" i="2"/>
  <c r="E153" i="2"/>
  <c r="D153" i="2"/>
  <c r="C153" i="2"/>
  <c r="B153" i="2"/>
  <c r="A153" i="2"/>
  <c r="A153" i="4" s="1"/>
  <c r="AA152" i="2"/>
  <c r="Z152" i="2"/>
  <c r="T152" i="2"/>
  <c r="G152" i="3" s="1"/>
  <c r="O152" i="2"/>
  <c r="AE152" i="2" s="1"/>
  <c r="N152" i="2"/>
  <c r="M152" i="2"/>
  <c r="Q152" i="2" s="1"/>
  <c r="L152" i="2"/>
  <c r="P152" i="2" s="1"/>
  <c r="K152" i="2"/>
  <c r="E152" i="5" s="1"/>
  <c r="I152" i="2"/>
  <c r="H152" i="2"/>
  <c r="J152" i="2" s="1"/>
  <c r="G152" i="2"/>
  <c r="F152" i="2"/>
  <c r="E152" i="2"/>
  <c r="D152" i="2"/>
  <c r="Y152" i="2" s="1"/>
  <c r="C152" i="2"/>
  <c r="B152" i="2"/>
  <c r="A152" i="2"/>
  <c r="AD151" i="2"/>
  <c r="AA151" i="2"/>
  <c r="Z151" i="2"/>
  <c r="O151" i="2"/>
  <c r="AE151" i="2" s="1"/>
  <c r="N151" i="2"/>
  <c r="M151" i="2"/>
  <c r="Q151" i="2" s="1"/>
  <c r="L151" i="2"/>
  <c r="P151" i="2" s="1"/>
  <c r="K151" i="2"/>
  <c r="E151" i="5" s="1"/>
  <c r="J151" i="2"/>
  <c r="AF151" i="2" s="1"/>
  <c r="I151" i="2"/>
  <c r="H151" i="2"/>
  <c r="G151" i="2"/>
  <c r="F151" i="2"/>
  <c r="E151" i="2"/>
  <c r="D151" i="2"/>
  <c r="C151" i="2"/>
  <c r="B151" i="2"/>
  <c r="A151" i="2"/>
  <c r="AA150" i="2"/>
  <c r="Z150" i="2"/>
  <c r="T150" i="2"/>
  <c r="G150" i="3" s="1"/>
  <c r="O150" i="2"/>
  <c r="AE150" i="2" s="1"/>
  <c r="N150" i="2"/>
  <c r="M150" i="2"/>
  <c r="Q150" i="2" s="1"/>
  <c r="L150" i="2"/>
  <c r="P150" i="2" s="1"/>
  <c r="K150" i="2"/>
  <c r="E150" i="5" s="1"/>
  <c r="I150" i="2"/>
  <c r="H150" i="2"/>
  <c r="J150" i="2" s="1"/>
  <c r="G150" i="2"/>
  <c r="F150" i="2"/>
  <c r="E150" i="2"/>
  <c r="D150" i="2"/>
  <c r="Y150" i="2" s="1"/>
  <c r="C150" i="2"/>
  <c r="C150" i="5" s="1"/>
  <c r="B150" i="2"/>
  <c r="A150" i="2"/>
  <c r="AD149" i="2"/>
  <c r="AA149" i="2"/>
  <c r="Z149" i="2"/>
  <c r="O149" i="2"/>
  <c r="AE149" i="2" s="1"/>
  <c r="N149" i="2"/>
  <c r="M149" i="2"/>
  <c r="Q149" i="2" s="1"/>
  <c r="L149" i="2"/>
  <c r="P149" i="2" s="1"/>
  <c r="K149" i="2"/>
  <c r="E149" i="5" s="1"/>
  <c r="J149" i="2"/>
  <c r="AF149" i="2" s="1"/>
  <c r="I149" i="2"/>
  <c r="H149" i="2"/>
  <c r="G149" i="2"/>
  <c r="F149" i="2"/>
  <c r="E149" i="2"/>
  <c r="D149" i="2"/>
  <c r="C149" i="2"/>
  <c r="B149" i="2"/>
  <c r="A149" i="2"/>
  <c r="AA148" i="2"/>
  <c r="Z148" i="2"/>
  <c r="T148" i="2"/>
  <c r="G148" i="3" s="1"/>
  <c r="O148" i="2"/>
  <c r="AE148" i="2" s="1"/>
  <c r="N148" i="2"/>
  <c r="M148" i="2"/>
  <c r="Q148" i="2" s="1"/>
  <c r="L148" i="2"/>
  <c r="P148" i="2" s="1"/>
  <c r="K148" i="2"/>
  <c r="E148" i="5" s="1"/>
  <c r="I148" i="2"/>
  <c r="H148" i="2"/>
  <c r="J148" i="2" s="1"/>
  <c r="G148" i="2"/>
  <c r="F148" i="2"/>
  <c r="E148" i="2"/>
  <c r="D148" i="2"/>
  <c r="Y148" i="2" s="1"/>
  <c r="C148" i="2"/>
  <c r="C148" i="5" s="1"/>
  <c r="B148" i="2"/>
  <c r="A148" i="2"/>
  <c r="AD147" i="2"/>
  <c r="AA147" i="2"/>
  <c r="Z147" i="2"/>
  <c r="O147" i="2"/>
  <c r="AE147" i="2" s="1"/>
  <c r="N147" i="2"/>
  <c r="M147" i="2"/>
  <c r="Q147" i="2" s="1"/>
  <c r="L147" i="2"/>
  <c r="P147" i="2" s="1"/>
  <c r="K147" i="2"/>
  <c r="E147" i="5" s="1"/>
  <c r="J147" i="2"/>
  <c r="AF147" i="2" s="1"/>
  <c r="I147" i="2"/>
  <c r="H147" i="2"/>
  <c r="G147" i="2"/>
  <c r="F147" i="2"/>
  <c r="E147" i="2"/>
  <c r="D147" i="2"/>
  <c r="C147" i="2"/>
  <c r="B147" i="2"/>
  <c r="A147" i="2"/>
  <c r="AA146" i="2"/>
  <c r="Z146" i="2"/>
  <c r="T146" i="2"/>
  <c r="G146" i="3" s="1"/>
  <c r="O146" i="2"/>
  <c r="AE146" i="2" s="1"/>
  <c r="N146" i="2"/>
  <c r="M146" i="2"/>
  <c r="Q146" i="2" s="1"/>
  <c r="L146" i="2"/>
  <c r="P146" i="2" s="1"/>
  <c r="K146" i="2"/>
  <c r="E146" i="5" s="1"/>
  <c r="I146" i="2"/>
  <c r="H146" i="2"/>
  <c r="J146" i="2" s="1"/>
  <c r="G146" i="2"/>
  <c r="F146" i="2"/>
  <c r="E146" i="2"/>
  <c r="D146" i="2"/>
  <c r="Y146" i="2" s="1"/>
  <c r="C146" i="2"/>
  <c r="C146" i="5" s="1"/>
  <c r="B146" i="2"/>
  <c r="A146" i="2"/>
  <c r="AD145" i="2"/>
  <c r="AA145" i="2"/>
  <c r="Z145" i="2"/>
  <c r="O145" i="2"/>
  <c r="AE145" i="2" s="1"/>
  <c r="N145" i="2"/>
  <c r="M145" i="2"/>
  <c r="Q145" i="2" s="1"/>
  <c r="L145" i="2"/>
  <c r="P145" i="2" s="1"/>
  <c r="K145" i="2"/>
  <c r="E145" i="5" s="1"/>
  <c r="J145" i="2"/>
  <c r="AF145" i="2" s="1"/>
  <c r="I145" i="2"/>
  <c r="H145" i="2"/>
  <c r="G145" i="2"/>
  <c r="F145" i="2"/>
  <c r="E145" i="2"/>
  <c r="D145" i="2"/>
  <c r="C145" i="2"/>
  <c r="B145" i="2"/>
  <c r="A145" i="2"/>
  <c r="AA144" i="2"/>
  <c r="Z144" i="2"/>
  <c r="T144" i="2"/>
  <c r="G144" i="3" s="1"/>
  <c r="O144" i="2"/>
  <c r="AE144" i="2" s="1"/>
  <c r="N144" i="2"/>
  <c r="M144" i="2"/>
  <c r="Q144" i="2" s="1"/>
  <c r="L144" i="2"/>
  <c r="P144" i="2" s="1"/>
  <c r="K144" i="2"/>
  <c r="E144" i="5" s="1"/>
  <c r="I144" i="2"/>
  <c r="H144" i="2"/>
  <c r="J144" i="2" s="1"/>
  <c r="G144" i="2"/>
  <c r="F144" i="2"/>
  <c r="E144" i="2"/>
  <c r="D144" i="2"/>
  <c r="Y144" i="2" s="1"/>
  <c r="C144" i="2"/>
  <c r="B144" i="2"/>
  <c r="A144" i="2"/>
  <c r="AD143" i="2"/>
  <c r="AA143" i="2"/>
  <c r="Z143" i="2"/>
  <c r="O143" i="2"/>
  <c r="AE143" i="2" s="1"/>
  <c r="N143" i="2"/>
  <c r="M143" i="2"/>
  <c r="Q143" i="2" s="1"/>
  <c r="L143" i="2"/>
  <c r="P143" i="2" s="1"/>
  <c r="K143" i="2"/>
  <c r="E143" i="5" s="1"/>
  <c r="J143" i="2"/>
  <c r="AF143" i="2" s="1"/>
  <c r="I143" i="2"/>
  <c r="H143" i="2"/>
  <c r="G143" i="2"/>
  <c r="F143" i="2"/>
  <c r="E143" i="2"/>
  <c r="D143" i="2"/>
  <c r="C143" i="2"/>
  <c r="B143" i="2"/>
  <c r="A143" i="2"/>
  <c r="A143" i="5" s="1"/>
  <c r="AA142" i="2"/>
  <c r="Z142" i="2"/>
  <c r="T142" i="2"/>
  <c r="G142" i="3" s="1"/>
  <c r="O142" i="2"/>
  <c r="AE142" i="2" s="1"/>
  <c r="N142" i="2"/>
  <c r="M142" i="2"/>
  <c r="Q142" i="2" s="1"/>
  <c r="L142" i="2"/>
  <c r="P142" i="2" s="1"/>
  <c r="K142" i="2"/>
  <c r="E142" i="5" s="1"/>
  <c r="I142" i="2"/>
  <c r="H142" i="2"/>
  <c r="J142" i="2" s="1"/>
  <c r="G142" i="2"/>
  <c r="F142" i="2"/>
  <c r="E142" i="2"/>
  <c r="D142" i="2"/>
  <c r="Y142" i="2" s="1"/>
  <c r="C142" i="2"/>
  <c r="C142" i="5" s="1"/>
  <c r="B142" i="2"/>
  <c r="A142" i="2"/>
  <c r="AD141" i="2"/>
  <c r="AA141" i="2"/>
  <c r="Z141" i="2"/>
  <c r="O141" i="2"/>
  <c r="AE141" i="2" s="1"/>
  <c r="N141" i="2"/>
  <c r="M141" i="2"/>
  <c r="Q141" i="2" s="1"/>
  <c r="L141" i="2"/>
  <c r="P141" i="2" s="1"/>
  <c r="K141" i="2"/>
  <c r="E141" i="5" s="1"/>
  <c r="J141" i="2"/>
  <c r="AF141" i="2" s="1"/>
  <c r="I141" i="2"/>
  <c r="H141" i="2"/>
  <c r="G141" i="2"/>
  <c r="F141" i="2"/>
  <c r="E141" i="2"/>
  <c r="D141" i="2"/>
  <c r="C141" i="2"/>
  <c r="B141" i="2"/>
  <c r="A141" i="2"/>
  <c r="AA140" i="2"/>
  <c r="Z140" i="2"/>
  <c r="T140" i="2"/>
  <c r="G140" i="3" s="1"/>
  <c r="O140" i="2"/>
  <c r="AE140" i="2" s="1"/>
  <c r="N140" i="2"/>
  <c r="M140" i="2"/>
  <c r="Q140" i="2" s="1"/>
  <c r="L140" i="2"/>
  <c r="P140" i="2" s="1"/>
  <c r="K140" i="2"/>
  <c r="E140" i="5" s="1"/>
  <c r="I140" i="2"/>
  <c r="H140" i="2"/>
  <c r="J140" i="2" s="1"/>
  <c r="G140" i="2"/>
  <c r="F140" i="2"/>
  <c r="E140" i="2"/>
  <c r="D140" i="2"/>
  <c r="Y140" i="2" s="1"/>
  <c r="C140" i="2"/>
  <c r="C140" i="5" s="1"/>
  <c r="B140" i="2"/>
  <c r="A140" i="2"/>
  <c r="AD139" i="2"/>
  <c r="AA139" i="2"/>
  <c r="Z139" i="2"/>
  <c r="O139" i="2"/>
  <c r="AE139" i="2" s="1"/>
  <c r="N139" i="2"/>
  <c r="M139" i="2"/>
  <c r="Q139" i="2" s="1"/>
  <c r="L139" i="2"/>
  <c r="P139" i="2" s="1"/>
  <c r="K139" i="2"/>
  <c r="E139" i="5" s="1"/>
  <c r="J139" i="2"/>
  <c r="AF139" i="2" s="1"/>
  <c r="I139" i="2"/>
  <c r="H139" i="2"/>
  <c r="G139" i="2"/>
  <c r="F139" i="2"/>
  <c r="E139" i="2"/>
  <c r="D139" i="2"/>
  <c r="C139" i="2"/>
  <c r="B139" i="2"/>
  <c r="A139" i="2"/>
  <c r="AA138" i="2"/>
  <c r="Z138" i="2"/>
  <c r="T138" i="2"/>
  <c r="G138" i="3" s="1"/>
  <c r="O138" i="2"/>
  <c r="AE138" i="2" s="1"/>
  <c r="N138" i="2"/>
  <c r="M138" i="2"/>
  <c r="Q138" i="2" s="1"/>
  <c r="L138" i="2"/>
  <c r="P138" i="2" s="1"/>
  <c r="K138" i="2"/>
  <c r="E138" i="5" s="1"/>
  <c r="I138" i="2"/>
  <c r="H138" i="2"/>
  <c r="J138" i="2" s="1"/>
  <c r="G138" i="2"/>
  <c r="F138" i="2"/>
  <c r="E138" i="2"/>
  <c r="D138" i="2"/>
  <c r="Y138" i="2" s="1"/>
  <c r="C138" i="2"/>
  <c r="C138" i="5" s="1"/>
  <c r="B138" i="2"/>
  <c r="A138" i="2"/>
  <c r="AD137" i="2"/>
  <c r="AA137" i="2"/>
  <c r="Z137" i="2"/>
  <c r="O137" i="2"/>
  <c r="AE137" i="2" s="1"/>
  <c r="N137" i="2"/>
  <c r="M137" i="2"/>
  <c r="Q137" i="2" s="1"/>
  <c r="L137" i="2"/>
  <c r="P137" i="2" s="1"/>
  <c r="K137" i="2"/>
  <c r="E137" i="5" s="1"/>
  <c r="J137" i="2"/>
  <c r="AF137" i="2" s="1"/>
  <c r="I137" i="2"/>
  <c r="H137" i="2"/>
  <c r="G137" i="2"/>
  <c r="F137" i="2"/>
  <c r="E137" i="2"/>
  <c r="D137" i="2"/>
  <c r="C137" i="2"/>
  <c r="B137" i="2"/>
  <c r="A137" i="2"/>
  <c r="A137" i="4" s="1"/>
  <c r="AA136" i="2"/>
  <c r="Z136" i="2"/>
  <c r="T136" i="2"/>
  <c r="G136" i="3" s="1"/>
  <c r="O136" i="2"/>
  <c r="AE136" i="2" s="1"/>
  <c r="N136" i="2"/>
  <c r="M136" i="2"/>
  <c r="Q136" i="2" s="1"/>
  <c r="L136" i="2"/>
  <c r="P136" i="2" s="1"/>
  <c r="K136" i="2"/>
  <c r="E136" i="5" s="1"/>
  <c r="I136" i="2"/>
  <c r="H136" i="2"/>
  <c r="J136" i="2" s="1"/>
  <c r="G136" i="2"/>
  <c r="F136" i="2"/>
  <c r="E136" i="2"/>
  <c r="D136" i="2"/>
  <c r="Y136" i="2" s="1"/>
  <c r="C136" i="2"/>
  <c r="C136" i="5" s="1"/>
  <c r="B136" i="2"/>
  <c r="A136" i="2"/>
  <c r="AD135" i="2"/>
  <c r="AA135" i="2"/>
  <c r="Z135" i="2"/>
  <c r="O135" i="2"/>
  <c r="AE135" i="2" s="1"/>
  <c r="N135" i="2"/>
  <c r="M135" i="2"/>
  <c r="Q135" i="2" s="1"/>
  <c r="L135" i="2"/>
  <c r="P135" i="2" s="1"/>
  <c r="K135" i="2"/>
  <c r="E135" i="5" s="1"/>
  <c r="J135" i="2"/>
  <c r="AF135" i="2" s="1"/>
  <c r="I135" i="2"/>
  <c r="H135" i="2"/>
  <c r="G135" i="2"/>
  <c r="F135" i="2"/>
  <c r="E135" i="2"/>
  <c r="D135" i="2"/>
  <c r="C135" i="2"/>
  <c r="B135" i="2"/>
  <c r="A135" i="2"/>
  <c r="AA134" i="2"/>
  <c r="Z134" i="2"/>
  <c r="T134" i="2"/>
  <c r="G134" i="3" s="1"/>
  <c r="O134" i="2"/>
  <c r="AE134" i="2" s="1"/>
  <c r="N134" i="2"/>
  <c r="M134" i="2"/>
  <c r="Q134" i="2" s="1"/>
  <c r="L134" i="2"/>
  <c r="P134" i="2" s="1"/>
  <c r="K134" i="2"/>
  <c r="E134" i="5" s="1"/>
  <c r="I134" i="2"/>
  <c r="H134" i="2"/>
  <c r="J134" i="2" s="1"/>
  <c r="G134" i="2"/>
  <c r="F134" i="2"/>
  <c r="E134" i="2"/>
  <c r="D134" i="2"/>
  <c r="Y134" i="2" s="1"/>
  <c r="C134" i="2"/>
  <c r="C134" i="5" s="1"/>
  <c r="B134" i="2"/>
  <c r="A134" i="2"/>
  <c r="AD133" i="2"/>
  <c r="AA133" i="2"/>
  <c r="Z133" i="2"/>
  <c r="O133" i="2"/>
  <c r="AE133" i="2" s="1"/>
  <c r="N133" i="2"/>
  <c r="M133" i="2"/>
  <c r="Q133" i="2" s="1"/>
  <c r="L133" i="2"/>
  <c r="P133" i="2" s="1"/>
  <c r="K133" i="2"/>
  <c r="E133" i="5" s="1"/>
  <c r="J133" i="2"/>
  <c r="AF133" i="2" s="1"/>
  <c r="I133" i="2"/>
  <c r="H133" i="2"/>
  <c r="G133" i="2"/>
  <c r="F133" i="2"/>
  <c r="E133" i="2"/>
  <c r="D133" i="2"/>
  <c r="C133" i="2"/>
  <c r="B133" i="2"/>
  <c r="A133" i="2"/>
  <c r="AA132" i="2"/>
  <c r="Z132" i="2"/>
  <c r="T132" i="2"/>
  <c r="G132" i="3" s="1"/>
  <c r="O132" i="2"/>
  <c r="AE132" i="2" s="1"/>
  <c r="N132" i="2"/>
  <c r="M132" i="2"/>
  <c r="Q132" i="2" s="1"/>
  <c r="L132" i="2"/>
  <c r="P132" i="2" s="1"/>
  <c r="K132" i="2"/>
  <c r="E132" i="5" s="1"/>
  <c r="I132" i="2"/>
  <c r="H132" i="2"/>
  <c r="J132" i="2" s="1"/>
  <c r="G132" i="2"/>
  <c r="F132" i="2"/>
  <c r="E132" i="2"/>
  <c r="D132" i="2"/>
  <c r="Y132" i="2" s="1"/>
  <c r="C132" i="2"/>
  <c r="C132" i="5" s="1"/>
  <c r="B132" i="2"/>
  <c r="A132" i="2"/>
  <c r="AD131" i="2"/>
  <c r="AA131" i="2"/>
  <c r="Z131" i="2"/>
  <c r="O131" i="2"/>
  <c r="AE131" i="2" s="1"/>
  <c r="N131" i="2"/>
  <c r="M131" i="2"/>
  <c r="Q131" i="2" s="1"/>
  <c r="L131" i="2"/>
  <c r="P131" i="2" s="1"/>
  <c r="K131" i="2"/>
  <c r="E131" i="5" s="1"/>
  <c r="J131" i="2"/>
  <c r="AF131" i="2" s="1"/>
  <c r="I131" i="2"/>
  <c r="H131" i="2"/>
  <c r="G131" i="2"/>
  <c r="F131" i="2"/>
  <c r="E131" i="2"/>
  <c r="D131" i="2"/>
  <c r="C131" i="2"/>
  <c r="B131" i="2"/>
  <c r="A131" i="2"/>
  <c r="AA130" i="2"/>
  <c r="Z130" i="2"/>
  <c r="O130" i="2"/>
  <c r="N130" i="2"/>
  <c r="M130" i="2"/>
  <c r="Q130" i="2" s="1"/>
  <c r="L130" i="2"/>
  <c r="P130" i="2" s="1"/>
  <c r="K130" i="2"/>
  <c r="E130" i="5" s="1"/>
  <c r="I130" i="2"/>
  <c r="H130" i="2"/>
  <c r="J130" i="2" s="1"/>
  <c r="G130" i="2"/>
  <c r="F130" i="2"/>
  <c r="E130" i="2"/>
  <c r="D130" i="2"/>
  <c r="Y130" i="2" s="1"/>
  <c r="C130" i="2"/>
  <c r="B130" i="2"/>
  <c r="A130" i="2"/>
  <c r="AD129" i="2"/>
  <c r="AA129" i="2"/>
  <c r="Z129" i="2"/>
  <c r="O129" i="2"/>
  <c r="AE129" i="2" s="1"/>
  <c r="N129" i="2"/>
  <c r="M129" i="2"/>
  <c r="Q129" i="2" s="1"/>
  <c r="L129" i="2"/>
  <c r="P129" i="2" s="1"/>
  <c r="K129" i="2"/>
  <c r="E129" i="5" s="1"/>
  <c r="J129" i="2"/>
  <c r="AF129" i="2" s="1"/>
  <c r="I129" i="2"/>
  <c r="H129" i="2"/>
  <c r="G129" i="2"/>
  <c r="F129" i="2"/>
  <c r="E129" i="2"/>
  <c r="D129" i="2"/>
  <c r="C129" i="2"/>
  <c r="T129" i="2" s="1"/>
  <c r="G129" i="3" s="1"/>
  <c r="B129" i="2"/>
  <c r="A129" i="2"/>
  <c r="AA128" i="2"/>
  <c r="Z128" i="2"/>
  <c r="Y128" i="2"/>
  <c r="D128" i="4" s="1"/>
  <c r="T128" i="2"/>
  <c r="G128" i="3" s="1"/>
  <c r="O128" i="2"/>
  <c r="AE128" i="2" s="1"/>
  <c r="N128" i="2"/>
  <c r="M128" i="2"/>
  <c r="Q128" i="2" s="1"/>
  <c r="L128" i="2"/>
  <c r="P128" i="2" s="1"/>
  <c r="K128" i="2"/>
  <c r="E128" i="5" s="1"/>
  <c r="I128" i="2"/>
  <c r="H128" i="2"/>
  <c r="J128" i="2" s="1"/>
  <c r="G128" i="2"/>
  <c r="F128" i="2"/>
  <c r="E128" i="2"/>
  <c r="D128" i="2"/>
  <c r="C128" i="2"/>
  <c r="B128" i="2"/>
  <c r="A128" i="2"/>
  <c r="AD127" i="2"/>
  <c r="AA127" i="2"/>
  <c r="Z127" i="2"/>
  <c r="O127" i="2"/>
  <c r="AE127" i="2" s="1"/>
  <c r="N127" i="2"/>
  <c r="M127" i="2"/>
  <c r="Q127" i="2" s="1"/>
  <c r="L127" i="2"/>
  <c r="P127" i="2" s="1"/>
  <c r="K127" i="2"/>
  <c r="E127" i="5" s="1"/>
  <c r="J127" i="2"/>
  <c r="AF127" i="2" s="1"/>
  <c r="I127" i="2"/>
  <c r="H127" i="2"/>
  <c r="G127" i="2"/>
  <c r="F127" i="2"/>
  <c r="E127" i="2"/>
  <c r="D127" i="2"/>
  <c r="C127" i="2"/>
  <c r="T127" i="2" s="1"/>
  <c r="G127" i="3" s="1"/>
  <c r="B127" i="2"/>
  <c r="A127" i="2"/>
  <c r="AA126" i="2"/>
  <c r="Z126" i="2"/>
  <c r="Y126" i="2"/>
  <c r="D126" i="4" s="1"/>
  <c r="T126" i="2"/>
  <c r="G126" i="3" s="1"/>
  <c r="O126" i="2"/>
  <c r="AE126" i="2" s="1"/>
  <c r="N126" i="2"/>
  <c r="M126" i="2"/>
  <c r="Q126" i="2" s="1"/>
  <c r="L126" i="2"/>
  <c r="P126" i="2" s="1"/>
  <c r="K126" i="2"/>
  <c r="E126" i="5" s="1"/>
  <c r="I126" i="2"/>
  <c r="H126" i="2"/>
  <c r="J126" i="2" s="1"/>
  <c r="G126" i="2"/>
  <c r="F126" i="2"/>
  <c r="E126" i="2"/>
  <c r="D126" i="2"/>
  <c r="C126" i="2"/>
  <c r="B126" i="2"/>
  <c r="A126" i="2"/>
  <c r="AD125" i="2"/>
  <c r="AA125" i="2"/>
  <c r="Z125" i="2"/>
  <c r="O125" i="2"/>
  <c r="AE125" i="2" s="1"/>
  <c r="N125" i="2"/>
  <c r="M125" i="2"/>
  <c r="Q125" i="2" s="1"/>
  <c r="L125" i="2"/>
  <c r="P125" i="2" s="1"/>
  <c r="K125" i="2"/>
  <c r="E125" i="5" s="1"/>
  <c r="J125" i="2"/>
  <c r="AF125" i="2" s="1"/>
  <c r="I125" i="2"/>
  <c r="H125" i="2"/>
  <c r="G125" i="2"/>
  <c r="F125" i="2"/>
  <c r="E125" i="2"/>
  <c r="D125" i="2"/>
  <c r="C125" i="2"/>
  <c r="T125" i="2" s="1"/>
  <c r="G125" i="3" s="1"/>
  <c r="B125" i="2"/>
  <c r="A125" i="2"/>
  <c r="AA124" i="2"/>
  <c r="Z124" i="2"/>
  <c r="Y124" i="2"/>
  <c r="D124" i="4" s="1"/>
  <c r="T124" i="2"/>
  <c r="G124" i="3" s="1"/>
  <c r="O124" i="2"/>
  <c r="AE124" i="2" s="1"/>
  <c r="N124" i="2"/>
  <c r="M124" i="2"/>
  <c r="Q124" i="2" s="1"/>
  <c r="L124" i="2"/>
  <c r="P124" i="2" s="1"/>
  <c r="K124" i="2"/>
  <c r="E124" i="5" s="1"/>
  <c r="I124" i="2"/>
  <c r="H124" i="2"/>
  <c r="J124" i="2" s="1"/>
  <c r="G124" i="2"/>
  <c r="F124" i="2"/>
  <c r="E124" i="2"/>
  <c r="D124" i="2"/>
  <c r="C124" i="2"/>
  <c r="B124" i="2"/>
  <c r="A124" i="2"/>
  <c r="AD123" i="2"/>
  <c r="AA123" i="2"/>
  <c r="Z123" i="2"/>
  <c r="O123" i="2"/>
  <c r="AE123" i="2" s="1"/>
  <c r="N123" i="2"/>
  <c r="M123" i="2"/>
  <c r="Q123" i="2" s="1"/>
  <c r="L123" i="2"/>
  <c r="P123" i="2" s="1"/>
  <c r="K123" i="2"/>
  <c r="E123" i="5" s="1"/>
  <c r="J123" i="2"/>
  <c r="AF123" i="2" s="1"/>
  <c r="I123" i="2"/>
  <c r="H123" i="2"/>
  <c r="G123" i="2"/>
  <c r="F123" i="2"/>
  <c r="E123" i="2"/>
  <c r="D123" i="2"/>
  <c r="C123" i="2"/>
  <c r="T123" i="2" s="1"/>
  <c r="G123" i="3" s="1"/>
  <c r="B123" i="2"/>
  <c r="A123" i="2"/>
  <c r="AA122" i="2"/>
  <c r="Z122" i="2"/>
  <c r="Y122" i="2"/>
  <c r="D122" i="4" s="1"/>
  <c r="T122" i="2"/>
  <c r="G122" i="3" s="1"/>
  <c r="O122" i="2"/>
  <c r="AE122" i="2" s="1"/>
  <c r="N122" i="2"/>
  <c r="M122" i="2"/>
  <c r="Q122" i="2" s="1"/>
  <c r="L122" i="2"/>
  <c r="P122" i="2" s="1"/>
  <c r="K122" i="2"/>
  <c r="E122" i="5" s="1"/>
  <c r="I122" i="2"/>
  <c r="H122" i="2"/>
  <c r="J122" i="2" s="1"/>
  <c r="G122" i="2"/>
  <c r="F122" i="2"/>
  <c r="E122" i="2"/>
  <c r="D122" i="2"/>
  <c r="C122" i="2"/>
  <c r="B122" i="2"/>
  <c r="A122" i="2"/>
  <c r="AD121" i="2"/>
  <c r="AA121" i="2"/>
  <c r="Z121" i="2"/>
  <c r="O121" i="2"/>
  <c r="AE121" i="2" s="1"/>
  <c r="N121" i="2"/>
  <c r="M121" i="2"/>
  <c r="Q121" i="2" s="1"/>
  <c r="L121" i="2"/>
  <c r="P121" i="2" s="1"/>
  <c r="K121" i="2"/>
  <c r="E121" i="5" s="1"/>
  <c r="J121" i="2"/>
  <c r="AF121" i="2" s="1"/>
  <c r="I121" i="2"/>
  <c r="H121" i="2"/>
  <c r="G121" i="2"/>
  <c r="F121" i="2"/>
  <c r="E121" i="2"/>
  <c r="D121" i="2"/>
  <c r="C121" i="2"/>
  <c r="T121" i="2" s="1"/>
  <c r="G121" i="3" s="1"/>
  <c r="B121" i="2"/>
  <c r="A121" i="2"/>
  <c r="AA120" i="2"/>
  <c r="Z120" i="2"/>
  <c r="Y120" i="2"/>
  <c r="D120" i="4" s="1"/>
  <c r="T120" i="2"/>
  <c r="G120" i="3" s="1"/>
  <c r="O120" i="2"/>
  <c r="AE120" i="2" s="1"/>
  <c r="N120" i="2"/>
  <c r="M120" i="2"/>
  <c r="Q120" i="2" s="1"/>
  <c r="L120" i="2"/>
  <c r="P120" i="2" s="1"/>
  <c r="K120" i="2"/>
  <c r="E120" i="5" s="1"/>
  <c r="I120" i="2"/>
  <c r="H120" i="2"/>
  <c r="J120" i="2" s="1"/>
  <c r="G120" i="2"/>
  <c r="F120" i="2"/>
  <c r="E120" i="2"/>
  <c r="D120" i="2"/>
  <c r="C120" i="2"/>
  <c r="B120" i="2"/>
  <c r="A120" i="2"/>
  <c r="AD119" i="2"/>
  <c r="AA119" i="2"/>
  <c r="Z119" i="2"/>
  <c r="O119" i="2"/>
  <c r="AE119" i="2" s="1"/>
  <c r="N119" i="2"/>
  <c r="M119" i="2"/>
  <c r="Q119" i="2" s="1"/>
  <c r="L119" i="2"/>
  <c r="P119" i="2" s="1"/>
  <c r="K119" i="2"/>
  <c r="E119" i="5" s="1"/>
  <c r="J119" i="2"/>
  <c r="AF119" i="2" s="1"/>
  <c r="I119" i="2"/>
  <c r="H119" i="2"/>
  <c r="G119" i="2"/>
  <c r="F119" i="2"/>
  <c r="E119" i="2"/>
  <c r="D119" i="2"/>
  <c r="C119" i="2"/>
  <c r="T119" i="2" s="1"/>
  <c r="G119" i="3" s="1"/>
  <c r="B119" i="2"/>
  <c r="A119" i="2"/>
  <c r="AA118" i="2"/>
  <c r="Z118" i="2"/>
  <c r="Y118" i="2"/>
  <c r="D118" i="4" s="1"/>
  <c r="T118" i="2"/>
  <c r="G118" i="3" s="1"/>
  <c r="O118" i="2"/>
  <c r="AE118" i="2" s="1"/>
  <c r="N118" i="2"/>
  <c r="M118" i="2"/>
  <c r="Q118" i="2" s="1"/>
  <c r="L118" i="2"/>
  <c r="P118" i="2" s="1"/>
  <c r="K118" i="2"/>
  <c r="E118" i="5" s="1"/>
  <c r="I118" i="2"/>
  <c r="H118" i="2"/>
  <c r="J118" i="2" s="1"/>
  <c r="G118" i="2"/>
  <c r="F118" i="2"/>
  <c r="E118" i="2"/>
  <c r="D118" i="2"/>
  <c r="C118" i="2"/>
  <c r="B118" i="2"/>
  <c r="A118" i="2"/>
  <c r="AD117" i="2"/>
  <c r="AA117" i="2"/>
  <c r="Z117" i="2"/>
  <c r="O117" i="2"/>
  <c r="AE117" i="2" s="1"/>
  <c r="N117" i="2"/>
  <c r="M117" i="2"/>
  <c r="Q117" i="2" s="1"/>
  <c r="L117" i="2"/>
  <c r="P117" i="2" s="1"/>
  <c r="K117" i="2"/>
  <c r="E117" i="5" s="1"/>
  <c r="J117" i="2"/>
  <c r="AF117" i="2" s="1"/>
  <c r="I117" i="2"/>
  <c r="H117" i="2"/>
  <c r="G117" i="2"/>
  <c r="F117" i="2"/>
  <c r="E117" i="2"/>
  <c r="D117" i="2"/>
  <c r="C117" i="2"/>
  <c r="T117" i="2" s="1"/>
  <c r="G117" i="3" s="1"/>
  <c r="B117" i="2"/>
  <c r="A117" i="2"/>
  <c r="AA116" i="2"/>
  <c r="Z116" i="2"/>
  <c r="Y116" i="2"/>
  <c r="D116" i="4" s="1"/>
  <c r="T116" i="2"/>
  <c r="G116" i="3" s="1"/>
  <c r="O116" i="2"/>
  <c r="AE116" i="2" s="1"/>
  <c r="N116" i="2"/>
  <c r="M116" i="2"/>
  <c r="Q116" i="2" s="1"/>
  <c r="L116" i="2"/>
  <c r="P116" i="2" s="1"/>
  <c r="K116" i="2"/>
  <c r="E116" i="5" s="1"/>
  <c r="I116" i="2"/>
  <c r="H116" i="2"/>
  <c r="J116" i="2" s="1"/>
  <c r="G116" i="2"/>
  <c r="F116" i="2"/>
  <c r="E116" i="2"/>
  <c r="D116" i="2"/>
  <c r="C116" i="2"/>
  <c r="B116" i="2"/>
  <c r="A116" i="2"/>
  <c r="AD115" i="2"/>
  <c r="AA115" i="2"/>
  <c r="Z115" i="2"/>
  <c r="O115" i="2"/>
  <c r="AE115" i="2" s="1"/>
  <c r="N115" i="2"/>
  <c r="M115" i="2"/>
  <c r="Q115" i="2" s="1"/>
  <c r="L115" i="2"/>
  <c r="P115" i="2" s="1"/>
  <c r="K115" i="2"/>
  <c r="E115" i="5" s="1"/>
  <c r="J115" i="2"/>
  <c r="AF115" i="2" s="1"/>
  <c r="I115" i="2"/>
  <c r="H115" i="2"/>
  <c r="G115" i="2"/>
  <c r="F115" i="2"/>
  <c r="E115" i="2"/>
  <c r="D115" i="2"/>
  <c r="C115" i="2"/>
  <c r="T115" i="2" s="1"/>
  <c r="G115" i="3" s="1"/>
  <c r="B115" i="2"/>
  <c r="A115" i="2"/>
  <c r="AA114" i="2"/>
  <c r="Z114" i="2"/>
  <c r="Y114" i="2"/>
  <c r="D114" i="4" s="1"/>
  <c r="T114" i="2"/>
  <c r="G114" i="3" s="1"/>
  <c r="O114" i="2"/>
  <c r="AE114" i="2" s="1"/>
  <c r="N114" i="2"/>
  <c r="M114" i="2"/>
  <c r="Q114" i="2" s="1"/>
  <c r="L114" i="2"/>
  <c r="P114" i="2" s="1"/>
  <c r="K114" i="2"/>
  <c r="E114" i="5" s="1"/>
  <c r="I114" i="2"/>
  <c r="H114" i="2"/>
  <c r="J114" i="2" s="1"/>
  <c r="G114" i="2"/>
  <c r="F114" i="2"/>
  <c r="E114" i="2"/>
  <c r="D114" i="2"/>
  <c r="C114" i="2"/>
  <c r="B114" i="2"/>
  <c r="A114" i="2"/>
  <c r="AD113" i="2"/>
  <c r="AA113" i="2"/>
  <c r="Z113" i="2"/>
  <c r="O113" i="2"/>
  <c r="AE113" i="2" s="1"/>
  <c r="N113" i="2"/>
  <c r="M113" i="2"/>
  <c r="Q113" i="2" s="1"/>
  <c r="L113" i="2"/>
  <c r="P113" i="2" s="1"/>
  <c r="K113" i="2"/>
  <c r="E113" i="5" s="1"/>
  <c r="J113" i="2"/>
  <c r="AF113" i="2" s="1"/>
  <c r="I113" i="2"/>
  <c r="H113" i="2"/>
  <c r="G113" i="2"/>
  <c r="F113" i="2"/>
  <c r="E113" i="2"/>
  <c r="D113" i="2"/>
  <c r="C113" i="2"/>
  <c r="T113" i="2" s="1"/>
  <c r="G113" i="3" s="1"/>
  <c r="B113" i="2"/>
  <c r="A113" i="2"/>
  <c r="AA112" i="2"/>
  <c r="Z112" i="2"/>
  <c r="Y112" i="2"/>
  <c r="D112" i="4" s="1"/>
  <c r="T112" i="2"/>
  <c r="G112" i="3" s="1"/>
  <c r="O112" i="2"/>
  <c r="AE112" i="2" s="1"/>
  <c r="N112" i="2"/>
  <c r="M112" i="2"/>
  <c r="Q112" i="2" s="1"/>
  <c r="L112" i="2"/>
  <c r="P112" i="2" s="1"/>
  <c r="K112" i="2"/>
  <c r="E112" i="5" s="1"/>
  <c r="I112" i="2"/>
  <c r="H112" i="2"/>
  <c r="J112" i="2" s="1"/>
  <c r="G112" i="2"/>
  <c r="F112" i="2"/>
  <c r="E112" i="2"/>
  <c r="D112" i="2"/>
  <c r="C112" i="2"/>
  <c r="B112" i="2"/>
  <c r="A112" i="2"/>
  <c r="AD111" i="2"/>
  <c r="AA111" i="2"/>
  <c r="Z111" i="2"/>
  <c r="O111" i="2"/>
  <c r="AE111" i="2" s="1"/>
  <c r="N111" i="2"/>
  <c r="M111" i="2"/>
  <c r="Q111" i="2" s="1"/>
  <c r="L111" i="2"/>
  <c r="P111" i="2" s="1"/>
  <c r="K111" i="2"/>
  <c r="E111" i="5" s="1"/>
  <c r="J111" i="2"/>
  <c r="AF111" i="2" s="1"/>
  <c r="I111" i="2"/>
  <c r="H111" i="2"/>
  <c r="G111" i="2"/>
  <c r="F111" i="2"/>
  <c r="E111" i="2"/>
  <c r="D111" i="2"/>
  <c r="C111" i="2"/>
  <c r="T111" i="2" s="1"/>
  <c r="G111" i="3" s="1"/>
  <c r="B111" i="2"/>
  <c r="A111" i="2"/>
  <c r="AA110" i="2"/>
  <c r="Z110" i="2"/>
  <c r="Y110" i="2"/>
  <c r="D110" i="4" s="1"/>
  <c r="T110" i="2"/>
  <c r="G110" i="3" s="1"/>
  <c r="O110" i="2"/>
  <c r="AE110" i="2" s="1"/>
  <c r="N110" i="2"/>
  <c r="M110" i="2"/>
  <c r="Q110" i="2" s="1"/>
  <c r="L110" i="2"/>
  <c r="P110" i="2" s="1"/>
  <c r="K110" i="2"/>
  <c r="E110" i="5" s="1"/>
  <c r="I110" i="2"/>
  <c r="H110" i="2"/>
  <c r="J110" i="2" s="1"/>
  <c r="G110" i="2"/>
  <c r="F110" i="2"/>
  <c r="E110" i="2"/>
  <c r="D110" i="2"/>
  <c r="C110" i="2"/>
  <c r="B110" i="2"/>
  <c r="A110" i="2"/>
  <c r="AD109" i="2"/>
  <c r="AA109" i="2"/>
  <c r="Z109" i="2"/>
  <c r="O109" i="2"/>
  <c r="AE109" i="2" s="1"/>
  <c r="N109" i="2"/>
  <c r="M109" i="2"/>
  <c r="Q109" i="2" s="1"/>
  <c r="L109" i="2"/>
  <c r="P109" i="2" s="1"/>
  <c r="K109" i="2"/>
  <c r="E109" i="5" s="1"/>
  <c r="J109" i="2"/>
  <c r="AF109" i="2" s="1"/>
  <c r="I109" i="2"/>
  <c r="H109" i="2"/>
  <c r="G109" i="2"/>
  <c r="F109" i="2"/>
  <c r="E109" i="2"/>
  <c r="D109" i="2"/>
  <c r="C109" i="2"/>
  <c r="T109" i="2" s="1"/>
  <c r="G109" i="3" s="1"/>
  <c r="B109" i="2"/>
  <c r="A109" i="2"/>
  <c r="AA108" i="2"/>
  <c r="Z108" i="2"/>
  <c r="Y108" i="2"/>
  <c r="D108" i="4" s="1"/>
  <c r="T108" i="2"/>
  <c r="G108" i="3" s="1"/>
  <c r="O108" i="2"/>
  <c r="AE108" i="2" s="1"/>
  <c r="N108" i="2"/>
  <c r="M108" i="2"/>
  <c r="Q108" i="2" s="1"/>
  <c r="L108" i="2"/>
  <c r="P108" i="2" s="1"/>
  <c r="K108" i="2"/>
  <c r="E108" i="5" s="1"/>
  <c r="I108" i="2"/>
  <c r="H108" i="2"/>
  <c r="J108" i="2" s="1"/>
  <c r="G108" i="2"/>
  <c r="F108" i="2"/>
  <c r="E108" i="2"/>
  <c r="D108" i="2"/>
  <c r="C108" i="2"/>
  <c r="B108" i="2"/>
  <c r="A108" i="2"/>
  <c r="AD107" i="2"/>
  <c r="AA107" i="2"/>
  <c r="Z107" i="2"/>
  <c r="O107" i="2"/>
  <c r="AE107" i="2" s="1"/>
  <c r="N107" i="2"/>
  <c r="M107" i="2"/>
  <c r="Q107" i="2" s="1"/>
  <c r="L107" i="2"/>
  <c r="P107" i="2" s="1"/>
  <c r="K107" i="2"/>
  <c r="E107" i="5" s="1"/>
  <c r="J107" i="2"/>
  <c r="AF107" i="2" s="1"/>
  <c r="I107" i="2"/>
  <c r="H107" i="2"/>
  <c r="G107" i="2"/>
  <c r="F107" i="2"/>
  <c r="E107" i="2"/>
  <c r="D107" i="2"/>
  <c r="C107" i="2"/>
  <c r="T107" i="2" s="1"/>
  <c r="G107" i="3" s="1"/>
  <c r="B107" i="2"/>
  <c r="A107" i="2"/>
  <c r="AA106" i="2"/>
  <c r="Z106" i="2"/>
  <c r="Y106" i="2"/>
  <c r="D106" i="4" s="1"/>
  <c r="T106" i="2"/>
  <c r="G106" i="3" s="1"/>
  <c r="O106" i="2"/>
  <c r="AE106" i="2" s="1"/>
  <c r="N106" i="2"/>
  <c r="M106" i="2"/>
  <c r="Q106" i="2" s="1"/>
  <c r="L106" i="2"/>
  <c r="P106" i="2" s="1"/>
  <c r="K106" i="2"/>
  <c r="E106" i="5" s="1"/>
  <c r="I106" i="2"/>
  <c r="H106" i="2"/>
  <c r="J106" i="2" s="1"/>
  <c r="G106" i="2"/>
  <c r="F106" i="2"/>
  <c r="E106" i="2"/>
  <c r="D106" i="2"/>
  <c r="C106" i="2"/>
  <c r="B106" i="2"/>
  <c r="A106" i="2"/>
  <c r="AD105" i="2"/>
  <c r="AA105" i="2"/>
  <c r="Z105" i="2"/>
  <c r="O105" i="2"/>
  <c r="AE105" i="2" s="1"/>
  <c r="N105" i="2"/>
  <c r="M105" i="2"/>
  <c r="Q105" i="2" s="1"/>
  <c r="L105" i="2"/>
  <c r="P105" i="2" s="1"/>
  <c r="K105" i="2"/>
  <c r="E105" i="5" s="1"/>
  <c r="J105" i="2"/>
  <c r="AF105" i="2" s="1"/>
  <c r="I105" i="2"/>
  <c r="H105" i="2"/>
  <c r="G105" i="2"/>
  <c r="F105" i="2"/>
  <c r="E105" i="2"/>
  <c r="D105" i="2"/>
  <c r="C105" i="2"/>
  <c r="T105" i="2" s="1"/>
  <c r="G105" i="3" s="1"/>
  <c r="B105" i="2"/>
  <c r="A105" i="2"/>
  <c r="AA104" i="2"/>
  <c r="Z104" i="2"/>
  <c r="Y104" i="2"/>
  <c r="D104" i="4" s="1"/>
  <c r="T104" i="2"/>
  <c r="G104" i="3" s="1"/>
  <c r="O104" i="2"/>
  <c r="AE104" i="2" s="1"/>
  <c r="N104" i="2"/>
  <c r="M104" i="2"/>
  <c r="Q104" i="2" s="1"/>
  <c r="L104" i="2"/>
  <c r="P104" i="2" s="1"/>
  <c r="K104" i="2"/>
  <c r="E104" i="5" s="1"/>
  <c r="I104" i="2"/>
  <c r="H104" i="2"/>
  <c r="J104" i="2" s="1"/>
  <c r="G104" i="2"/>
  <c r="F104" i="2"/>
  <c r="E104" i="2"/>
  <c r="D104" i="2"/>
  <c r="C104" i="2"/>
  <c r="B104" i="2"/>
  <c r="A104" i="2"/>
  <c r="AD103" i="2"/>
  <c r="AA103" i="2"/>
  <c r="Z103" i="2"/>
  <c r="O103" i="2"/>
  <c r="AE103" i="2" s="1"/>
  <c r="N103" i="2"/>
  <c r="M103" i="2"/>
  <c r="Q103" i="2" s="1"/>
  <c r="L103" i="2"/>
  <c r="P103" i="2" s="1"/>
  <c r="K103" i="2"/>
  <c r="E103" i="5" s="1"/>
  <c r="J103" i="2"/>
  <c r="AF103" i="2" s="1"/>
  <c r="I103" i="2"/>
  <c r="H103" i="2"/>
  <c r="G103" i="2"/>
  <c r="F103" i="2"/>
  <c r="E103" i="2"/>
  <c r="D103" i="2"/>
  <c r="C103" i="2"/>
  <c r="T103" i="2" s="1"/>
  <c r="G103" i="3" s="1"/>
  <c r="B103" i="2"/>
  <c r="A103" i="2"/>
  <c r="AA102" i="2"/>
  <c r="Z102" i="2"/>
  <c r="Y102" i="2"/>
  <c r="D102" i="4" s="1"/>
  <c r="T102" i="2"/>
  <c r="G102" i="3" s="1"/>
  <c r="O102" i="2"/>
  <c r="AE102" i="2" s="1"/>
  <c r="N102" i="2"/>
  <c r="M102" i="2"/>
  <c r="Q102" i="2" s="1"/>
  <c r="L102" i="2"/>
  <c r="P102" i="2" s="1"/>
  <c r="K102" i="2"/>
  <c r="E102" i="5" s="1"/>
  <c r="I102" i="2"/>
  <c r="H102" i="2"/>
  <c r="J102" i="2" s="1"/>
  <c r="G102" i="2"/>
  <c r="F102" i="2"/>
  <c r="E102" i="2"/>
  <c r="D102" i="2"/>
  <c r="C102" i="2"/>
  <c r="B102" i="2"/>
  <c r="A102" i="2"/>
  <c r="AD101" i="2"/>
  <c r="AA101" i="2"/>
  <c r="Z101" i="2"/>
  <c r="O101" i="2"/>
  <c r="AE101" i="2" s="1"/>
  <c r="N101" i="2"/>
  <c r="M101" i="2"/>
  <c r="Q101" i="2" s="1"/>
  <c r="L101" i="2"/>
  <c r="P101" i="2" s="1"/>
  <c r="K101" i="2"/>
  <c r="E101" i="5" s="1"/>
  <c r="J101" i="2"/>
  <c r="AF101" i="2" s="1"/>
  <c r="I101" i="2"/>
  <c r="H101" i="2"/>
  <c r="G101" i="2"/>
  <c r="F101" i="2"/>
  <c r="E101" i="2"/>
  <c r="D101" i="2"/>
  <c r="C101" i="2"/>
  <c r="T101" i="2" s="1"/>
  <c r="G101" i="3" s="1"/>
  <c r="B101" i="2"/>
  <c r="A101" i="2"/>
  <c r="AA100" i="2"/>
  <c r="Z100" i="2"/>
  <c r="Y100" i="2"/>
  <c r="D100" i="4" s="1"/>
  <c r="T100" i="2"/>
  <c r="G100" i="3" s="1"/>
  <c r="O100" i="2"/>
  <c r="AE100" i="2" s="1"/>
  <c r="N100" i="2"/>
  <c r="M100" i="2"/>
  <c r="Q100" i="2" s="1"/>
  <c r="L100" i="2"/>
  <c r="P100" i="2" s="1"/>
  <c r="K100" i="2"/>
  <c r="E100" i="5" s="1"/>
  <c r="I100" i="2"/>
  <c r="H100" i="2"/>
  <c r="J100" i="2" s="1"/>
  <c r="G100" i="2"/>
  <c r="F100" i="2"/>
  <c r="E100" i="2"/>
  <c r="D100" i="2"/>
  <c r="C100" i="2"/>
  <c r="B100" i="2"/>
  <c r="A100" i="2"/>
  <c r="AD99" i="2"/>
  <c r="AA99" i="2"/>
  <c r="Z99" i="2"/>
  <c r="O99" i="2"/>
  <c r="AE99" i="2" s="1"/>
  <c r="N99" i="2"/>
  <c r="M99" i="2"/>
  <c r="Q99" i="2" s="1"/>
  <c r="L99" i="2"/>
  <c r="P99" i="2" s="1"/>
  <c r="K99" i="2"/>
  <c r="E99" i="5" s="1"/>
  <c r="J99" i="2"/>
  <c r="AF99" i="2" s="1"/>
  <c r="I99" i="2"/>
  <c r="H99" i="2"/>
  <c r="G99" i="2"/>
  <c r="F99" i="2"/>
  <c r="E99" i="2"/>
  <c r="D99" i="2"/>
  <c r="C99" i="2"/>
  <c r="T99" i="2" s="1"/>
  <c r="G99" i="3" s="1"/>
  <c r="B99" i="2"/>
  <c r="A99" i="2"/>
  <c r="AA98" i="2"/>
  <c r="Z98" i="2"/>
  <c r="Y98" i="2"/>
  <c r="D98" i="4" s="1"/>
  <c r="T98" i="2"/>
  <c r="G98" i="3" s="1"/>
  <c r="O98" i="2"/>
  <c r="AE98" i="2" s="1"/>
  <c r="N98" i="2"/>
  <c r="M98" i="2"/>
  <c r="Q98" i="2" s="1"/>
  <c r="L98" i="2"/>
  <c r="P98" i="2" s="1"/>
  <c r="K98" i="2"/>
  <c r="E98" i="5" s="1"/>
  <c r="I98" i="2"/>
  <c r="H98" i="2"/>
  <c r="J98" i="2" s="1"/>
  <c r="G98" i="2"/>
  <c r="F98" i="2"/>
  <c r="E98" i="2"/>
  <c r="D98" i="2"/>
  <c r="C98" i="2"/>
  <c r="B98" i="2"/>
  <c r="A98" i="2"/>
  <c r="AD97" i="2"/>
  <c r="AA97" i="2"/>
  <c r="Z97" i="2"/>
  <c r="O97" i="2"/>
  <c r="AE97" i="2" s="1"/>
  <c r="N97" i="2"/>
  <c r="M97" i="2"/>
  <c r="Q97" i="2" s="1"/>
  <c r="L97" i="2"/>
  <c r="P97" i="2" s="1"/>
  <c r="K97" i="2"/>
  <c r="E97" i="5" s="1"/>
  <c r="J97" i="2"/>
  <c r="AF97" i="2" s="1"/>
  <c r="I97" i="2"/>
  <c r="H97" i="2"/>
  <c r="G97" i="2"/>
  <c r="F97" i="2"/>
  <c r="E97" i="2"/>
  <c r="D97" i="2"/>
  <c r="C97" i="2"/>
  <c r="T97" i="2" s="1"/>
  <c r="G97" i="3" s="1"/>
  <c r="B97" i="2"/>
  <c r="A97" i="2"/>
  <c r="AA96" i="2"/>
  <c r="Z96" i="2"/>
  <c r="Y96" i="2"/>
  <c r="D96" i="4" s="1"/>
  <c r="T96" i="2"/>
  <c r="G96" i="3" s="1"/>
  <c r="O96" i="2"/>
  <c r="AE96" i="2" s="1"/>
  <c r="N96" i="2"/>
  <c r="M96" i="2"/>
  <c r="Q96" i="2" s="1"/>
  <c r="L96" i="2"/>
  <c r="P96" i="2" s="1"/>
  <c r="K96" i="2"/>
  <c r="E96" i="5" s="1"/>
  <c r="I96" i="2"/>
  <c r="H96" i="2"/>
  <c r="J96" i="2" s="1"/>
  <c r="G96" i="2"/>
  <c r="F96" i="2"/>
  <c r="E96" i="2"/>
  <c r="D96" i="2"/>
  <c r="C96" i="2"/>
  <c r="B96" i="2"/>
  <c r="A96" i="2"/>
  <c r="AD95" i="2"/>
  <c r="AA95" i="2"/>
  <c r="Z95" i="2"/>
  <c r="O95" i="2"/>
  <c r="AE95" i="2" s="1"/>
  <c r="N95" i="2"/>
  <c r="M95" i="2"/>
  <c r="Q95" i="2" s="1"/>
  <c r="L95" i="2"/>
  <c r="P95" i="2" s="1"/>
  <c r="K95" i="2"/>
  <c r="E95" i="5" s="1"/>
  <c r="J95" i="2"/>
  <c r="AF95" i="2" s="1"/>
  <c r="I95" i="2"/>
  <c r="H95" i="2"/>
  <c r="G95" i="2"/>
  <c r="F95" i="2"/>
  <c r="E95" i="2"/>
  <c r="D95" i="2"/>
  <c r="C95" i="2"/>
  <c r="T95" i="2" s="1"/>
  <c r="G95" i="3" s="1"/>
  <c r="B95" i="2"/>
  <c r="A95" i="2"/>
  <c r="AA94" i="2"/>
  <c r="Z94" i="2"/>
  <c r="Y94" i="2"/>
  <c r="D94" i="4" s="1"/>
  <c r="T94" i="2"/>
  <c r="G94" i="3" s="1"/>
  <c r="O94" i="2"/>
  <c r="AE94" i="2" s="1"/>
  <c r="N94" i="2"/>
  <c r="M94" i="2"/>
  <c r="Q94" i="2" s="1"/>
  <c r="L94" i="2"/>
  <c r="P94" i="2" s="1"/>
  <c r="K94" i="2"/>
  <c r="E94" i="5" s="1"/>
  <c r="I94" i="2"/>
  <c r="H94" i="2"/>
  <c r="J94" i="2" s="1"/>
  <c r="G94" i="2"/>
  <c r="F94" i="2"/>
  <c r="E94" i="2"/>
  <c r="D94" i="2"/>
  <c r="C94" i="2"/>
  <c r="B94" i="2"/>
  <c r="A94" i="2"/>
  <c r="AD93" i="2"/>
  <c r="AA93" i="2"/>
  <c r="Z93" i="2"/>
  <c r="O93" i="2"/>
  <c r="AE93" i="2" s="1"/>
  <c r="N93" i="2"/>
  <c r="M93" i="2"/>
  <c r="Q93" i="2" s="1"/>
  <c r="L93" i="2"/>
  <c r="P93" i="2" s="1"/>
  <c r="K93" i="2"/>
  <c r="E93" i="5" s="1"/>
  <c r="J93" i="2"/>
  <c r="AF93" i="2" s="1"/>
  <c r="I93" i="2"/>
  <c r="H93" i="2"/>
  <c r="G93" i="2"/>
  <c r="F93" i="2"/>
  <c r="E93" i="2"/>
  <c r="D93" i="2"/>
  <c r="C93" i="2"/>
  <c r="T93" i="2" s="1"/>
  <c r="G93" i="3" s="1"/>
  <c r="B93" i="2"/>
  <c r="A93" i="2"/>
  <c r="AA92" i="2"/>
  <c r="Z92" i="2"/>
  <c r="Y92" i="2"/>
  <c r="D92" i="4" s="1"/>
  <c r="T92" i="2"/>
  <c r="G92" i="3" s="1"/>
  <c r="O92" i="2"/>
  <c r="AE92" i="2" s="1"/>
  <c r="N92" i="2"/>
  <c r="M92" i="2"/>
  <c r="Q92" i="2" s="1"/>
  <c r="L92" i="2"/>
  <c r="P92" i="2" s="1"/>
  <c r="K92" i="2"/>
  <c r="E92" i="5" s="1"/>
  <c r="I92" i="2"/>
  <c r="H92" i="2"/>
  <c r="J92" i="2" s="1"/>
  <c r="G92" i="2"/>
  <c r="F92" i="2"/>
  <c r="E92" i="2"/>
  <c r="D92" i="2"/>
  <c r="C92" i="2"/>
  <c r="B92" i="2"/>
  <c r="A92" i="2"/>
  <c r="AD91" i="2"/>
  <c r="AA91" i="2"/>
  <c r="Z91" i="2"/>
  <c r="O91" i="2"/>
  <c r="AE91" i="2" s="1"/>
  <c r="N91" i="2"/>
  <c r="M91" i="2"/>
  <c r="Q91" i="2" s="1"/>
  <c r="L91" i="2"/>
  <c r="P91" i="2" s="1"/>
  <c r="K91" i="2"/>
  <c r="E91" i="5" s="1"/>
  <c r="J91" i="2"/>
  <c r="AF91" i="2" s="1"/>
  <c r="I91" i="2"/>
  <c r="H91" i="2"/>
  <c r="G91" i="2"/>
  <c r="F91" i="2"/>
  <c r="E91" i="2"/>
  <c r="D91" i="2"/>
  <c r="C91" i="2"/>
  <c r="T91" i="2" s="1"/>
  <c r="G91" i="3" s="1"/>
  <c r="B91" i="2"/>
  <c r="A91" i="2"/>
  <c r="AA90" i="2"/>
  <c r="C90" i="7" s="1"/>
  <c r="D90" i="7" s="1"/>
  <c r="Z90" i="2"/>
  <c r="Y90" i="2"/>
  <c r="D90" i="4" s="1"/>
  <c r="T90" i="2"/>
  <c r="G90" i="3" s="1"/>
  <c r="O90" i="2"/>
  <c r="AE90" i="2" s="1"/>
  <c r="N90" i="2"/>
  <c r="M90" i="2"/>
  <c r="Q90" i="2" s="1"/>
  <c r="L90" i="2"/>
  <c r="P90" i="2" s="1"/>
  <c r="K90" i="2"/>
  <c r="E90" i="5" s="1"/>
  <c r="I90" i="2"/>
  <c r="H90" i="2"/>
  <c r="J90" i="2" s="1"/>
  <c r="G90" i="2"/>
  <c r="F90" i="2"/>
  <c r="E90" i="2"/>
  <c r="D90" i="2"/>
  <c r="C90" i="2"/>
  <c r="B90" i="2"/>
  <c r="A90" i="2"/>
  <c r="AD89" i="2"/>
  <c r="AA89" i="2"/>
  <c r="C89" i="7" s="1"/>
  <c r="D89" i="7" s="1"/>
  <c r="Z89" i="2"/>
  <c r="O89" i="2"/>
  <c r="AE89" i="2" s="1"/>
  <c r="N89" i="2"/>
  <c r="M89" i="2"/>
  <c r="Q89" i="2" s="1"/>
  <c r="L89" i="2"/>
  <c r="P89" i="2" s="1"/>
  <c r="K89" i="2"/>
  <c r="E89" i="5" s="1"/>
  <c r="J89" i="2"/>
  <c r="AF89" i="2" s="1"/>
  <c r="I89" i="2"/>
  <c r="H89" i="2"/>
  <c r="G89" i="2"/>
  <c r="F89" i="2"/>
  <c r="E89" i="2"/>
  <c r="D89" i="2"/>
  <c r="C89" i="2"/>
  <c r="T89" i="2" s="1"/>
  <c r="G89" i="3" s="1"/>
  <c r="B89" i="2"/>
  <c r="A89" i="2"/>
  <c r="AA88" i="2"/>
  <c r="C88" i="7" s="1"/>
  <c r="D88" i="7" s="1"/>
  <c r="Z88" i="2"/>
  <c r="Y88" i="2"/>
  <c r="D88" i="4" s="1"/>
  <c r="T88" i="2"/>
  <c r="G88" i="3" s="1"/>
  <c r="O88" i="2"/>
  <c r="AE88" i="2" s="1"/>
  <c r="N88" i="2"/>
  <c r="M88" i="2"/>
  <c r="Q88" i="2" s="1"/>
  <c r="L88" i="2"/>
  <c r="P88" i="2" s="1"/>
  <c r="K88" i="2"/>
  <c r="E88" i="5" s="1"/>
  <c r="I88" i="2"/>
  <c r="H88" i="2"/>
  <c r="J88" i="2" s="1"/>
  <c r="G88" i="2"/>
  <c r="F88" i="2"/>
  <c r="E88" i="2"/>
  <c r="D88" i="2"/>
  <c r="C88" i="2"/>
  <c r="B88" i="2"/>
  <c r="A88" i="2"/>
  <c r="AD87" i="2"/>
  <c r="AA87" i="2"/>
  <c r="C87" i="7" s="1"/>
  <c r="D87" i="7" s="1"/>
  <c r="Z87" i="2"/>
  <c r="O87" i="2"/>
  <c r="AE87" i="2" s="1"/>
  <c r="N87" i="2"/>
  <c r="M87" i="2"/>
  <c r="Q87" i="2" s="1"/>
  <c r="L87" i="2"/>
  <c r="P87" i="2" s="1"/>
  <c r="K87" i="2"/>
  <c r="E87" i="5" s="1"/>
  <c r="J87" i="2"/>
  <c r="AF87" i="2" s="1"/>
  <c r="I87" i="2"/>
  <c r="H87" i="2"/>
  <c r="G87" i="2"/>
  <c r="F87" i="2"/>
  <c r="E87" i="2"/>
  <c r="D87" i="2"/>
  <c r="C87" i="2"/>
  <c r="T87" i="2" s="1"/>
  <c r="G87" i="3" s="1"/>
  <c r="B87" i="2"/>
  <c r="A87" i="2"/>
  <c r="AA86" i="2"/>
  <c r="Z86" i="2"/>
  <c r="Y86" i="2"/>
  <c r="D86" i="4" s="1"/>
  <c r="T86" i="2"/>
  <c r="G86" i="3" s="1"/>
  <c r="O86" i="2"/>
  <c r="AE86" i="2" s="1"/>
  <c r="N86" i="2"/>
  <c r="M86" i="2"/>
  <c r="Q86" i="2" s="1"/>
  <c r="L86" i="2"/>
  <c r="P86" i="2" s="1"/>
  <c r="K86" i="2"/>
  <c r="E86" i="5" s="1"/>
  <c r="I86" i="2"/>
  <c r="H86" i="2"/>
  <c r="J86" i="2" s="1"/>
  <c r="G86" i="2"/>
  <c r="F86" i="2"/>
  <c r="E86" i="2"/>
  <c r="D86" i="2"/>
  <c r="C86" i="2"/>
  <c r="B86" i="2"/>
  <c r="A86" i="2"/>
  <c r="AD85" i="2"/>
  <c r="AA85" i="2"/>
  <c r="Z85" i="2"/>
  <c r="O85" i="2"/>
  <c r="AE85" i="2" s="1"/>
  <c r="N85" i="2"/>
  <c r="M85" i="2"/>
  <c r="Q85" i="2" s="1"/>
  <c r="L85" i="2"/>
  <c r="P85" i="2" s="1"/>
  <c r="K85" i="2"/>
  <c r="E85" i="5" s="1"/>
  <c r="J85" i="2"/>
  <c r="AF85" i="2" s="1"/>
  <c r="I85" i="2"/>
  <c r="H85" i="2"/>
  <c r="G85" i="2"/>
  <c r="F85" i="2"/>
  <c r="E85" i="2"/>
  <c r="D85" i="2"/>
  <c r="C85" i="2"/>
  <c r="T85" i="2" s="1"/>
  <c r="G85" i="3" s="1"/>
  <c r="B85" i="2"/>
  <c r="A85" i="2"/>
  <c r="AA84" i="2"/>
  <c r="Z84" i="2"/>
  <c r="Y84" i="2"/>
  <c r="D84" i="4" s="1"/>
  <c r="T84" i="2"/>
  <c r="G84" i="3" s="1"/>
  <c r="O84" i="2"/>
  <c r="AE84" i="2" s="1"/>
  <c r="N84" i="2"/>
  <c r="M84" i="2"/>
  <c r="Q84" i="2" s="1"/>
  <c r="L84" i="2"/>
  <c r="P84" i="2" s="1"/>
  <c r="K84" i="2"/>
  <c r="E84" i="5" s="1"/>
  <c r="I84" i="2"/>
  <c r="H84" i="2"/>
  <c r="J84" i="2" s="1"/>
  <c r="G84" i="2"/>
  <c r="F84" i="2"/>
  <c r="E84" i="2"/>
  <c r="D84" i="2"/>
  <c r="C84" i="2"/>
  <c r="B84" i="2"/>
  <c r="A84" i="2"/>
  <c r="AD83" i="2"/>
  <c r="AA83" i="2"/>
  <c r="Z83" i="2"/>
  <c r="O83" i="2"/>
  <c r="AE83" i="2" s="1"/>
  <c r="N83" i="2"/>
  <c r="M83" i="2"/>
  <c r="Q83" i="2" s="1"/>
  <c r="L83" i="2"/>
  <c r="P83" i="2" s="1"/>
  <c r="K83" i="2"/>
  <c r="E83" i="5" s="1"/>
  <c r="J83" i="2"/>
  <c r="AF83" i="2" s="1"/>
  <c r="I83" i="2"/>
  <c r="H83" i="2"/>
  <c r="G83" i="2"/>
  <c r="F83" i="2"/>
  <c r="E83" i="2"/>
  <c r="D83" i="2"/>
  <c r="C83" i="2"/>
  <c r="T83" i="2" s="1"/>
  <c r="G83" i="3" s="1"/>
  <c r="B83" i="2"/>
  <c r="A83" i="2"/>
  <c r="AA82" i="2"/>
  <c r="Z82" i="2"/>
  <c r="Y82" i="2"/>
  <c r="D82" i="4" s="1"/>
  <c r="T82" i="2"/>
  <c r="G82" i="3" s="1"/>
  <c r="O82" i="2"/>
  <c r="AE82" i="2" s="1"/>
  <c r="N82" i="2"/>
  <c r="M82" i="2"/>
  <c r="Q82" i="2" s="1"/>
  <c r="L82" i="2"/>
  <c r="P82" i="2" s="1"/>
  <c r="K82" i="2"/>
  <c r="E82" i="5" s="1"/>
  <c r="I82" i="2"/>
  <c r="H82" i="2"/>
  <c r="J82" i="2" s="1"/>
  <c r="G82" i="2"/>
  <c r="F82" i="2"/>
  <c r="E82" i="2"/>
  <c r="D82" i="2"/>
  <c r="C82" i="2"/>
  <c r="B82" i="2"/>
  <c r="A82" i="2"/>
  <c r="AD81" i="2"/>
  <c r="AA81" i="2"/>
  <c r="Z81" i="2"/>
  <c r="O81" i="2"/>
  <c r="AE81" i="2" s="1"/>
  <c r="N81" i="2"/>
  <c r="M81" i="2"/>
  <c r="Q81" i="2" s="1"/>
  <c r="L81" i="2"/>
  <c r="P81" i="2" s="1"/>
  <c r="K81" i="2"/>
  <c r="E81" i="5" s="1"/>
  <c r="J81" i="2"/>
  <c r="AF81" i="2" s="1"/>
  <c r="I81" i="2"/>
  <c r="H81" i="2"/>
  <c r="G81" i="2"/>
  <c r="F81" i="2"/>
  <c r="E81" i="2"/>
  <c r="D81" i="2"/>
  <c r="C81" i="2"/>
  <c r="T81" i="2" s="1"/>
  <c r="G81" i="3" s="1"/>
  <c r="B81" i="2"/>
  <c r="A81" i="2"/>
  <c r="AA80" i="2"/>
  <c r="Z80" i="2"/>
  <c r="Y80" i="2"/>
  <c r="D80" i="4" s="1"/>
  <c r="T80" i="2"/>
  <c r="G80" i="3" s="1"/>
  <c r="O80" i="2"/>
  <c r="AE80" i="2" s="1"/>
  <c r="N80" i="2"/>
  <c r="M80" i="2"/>
  <c r="Q80" i="2" s="1"/>
  <c r="L80" i="2"/>
  <c r="P80" i="2" s="1"/>
  <c r="K80" i="2"/>
  <c r="E80" i="5" s="1"/>
  <c r="I80" i="2"/>
  <c r="H80" i="2"/>
  <c r="J80" i="2" s="1"/>
  <c r="G80" i="2"/>
  <c r="F80" i="2"/>
  <c r="E80" i="2"/>
  <c r="D80" i="2"/>
  <c r="C80" i="2"/>
  <c r="B80" i="2"/>
  <c r="A80" i="2"/>
  <c r="AD79" i="2"/>
  <c r="AA79" i="2"/>
  <c r="Z79" i="2"/>
  <c r="O79" i="2"/>
  <c r="AE79" i="2" s="1"/>
  <c r="N79" i="2"/>
  <c r="M79" i="2"/>
  <c r="Q79" i="2" s="1"/>
  <c r="L79" i="2"/>
  <c r="P79" i="2" s="1"/>
  <c r="K79" i="2"/>
  <c r="E79" i="5" s="1"/>
  <c r="J79" i="2"/>
  <c r="AF79" i="2" s="1"/>
  <c r="I79" i="2"/>
  <c r="H79" i="2"/>
  <c r="G79" i="2"/>
  <c r="F79" i="2"/>
  <c r="E79" i="2"/>
  <c r="D79" i="2"/>
  <c r="C79" i="2"/>
  <c r="T79" i="2" s="1"/>
  <c r="G79" i="3" s="1"/>
  <c r="B79" i="2"/>
  <c r="A79" i="2"/>
  <c r="AA78" i="2"/>
  <c r="Z78" i="2"/>
  <c r="Y78" i="2"/>
  <c r="D78" i="4" s="1"/>
  <c r="T78" i="2"/>
  <c r="G78" i="3" s="1"/>
  <c r="O78" i="2"/>
  <c r="AE78" i="2" s="1"/>
  <c r="N78" i="2"/>
  <c r="M78" i="2"/>
  <c r="Q78" i="2" s="1"/>
  <c r="L78" i="2"/>
  <c r="P78" i="2" s="1"/>
  <c r="K78" i="2"/>
  <c r="E78" i="5" s="1"/>
  <c r="I78" i="2"/>
  <c r="H78" i="2"/>
  <c r="J78" i="2" s="1"/>
  <c r="G78" i="2"/>
  <c r="F78" i="2"/>
  <c r="E78" i="2"/>
  <c r="D78" i="2"/>
  <c r="C78" i="2"/>
  <c r="B78" i="2"/>
  <c r="A78" i="2"/>
  <c r="AD77" i="2"/>
  <c r="AA77" i="2"/>
  <c r="Z77" i="2"/>
  <c r="O77" i="2"/>
  <c r="AE77" i="2" s="1"/>
  <c r="N77" i="2"/>
  <c r="M77" i="2"/>
  <c r="Q77" i="2" s="1"/>
  <c r="L77" i="2"/>
  <c r="P77" i="2" s="1"/>
  <c r="K77" i="2"/>
  <c r="E77" i="5" s="1"/>
  <c r="J77" i="2"/>
  <c r="AF77" i="2" s="1"/>
  <c r="I77" i="2"/>
  <c r="H77" i="2"/>
  <c r="G77" i="2"/>
  <c r="F77" i="2"/>
  <c r="E77" i="2"/>
  <c r="D77" i="2"/>
  <c r="C77" i="2"/>
  <c r="T77" i="2" s="1"/>
  <c r="G77" i="3" s="1"/>
  <c r="B77" i="2"/>
  <c r="A77" i="2"/>
  <c r="AA76" i="2"/>
  <c r="Z76" i="2"/>
  <c r="Y76" i="2"/>
  <c r="D76" i="4" s="1"/>
  <c r="T76" i="2"/>
  <c r="G76" i="3" s="1"/>
  <c r="O76" i="2"/>
  <c r="AE76" i="2" s="1"/>
  <c r="N76" i="2"/>
  <c r="M76" i="2"/>
  <c r="Q76" i="2" s="1"/>
  <c r="L76" i="2"/>
  <c r="P76" i="2" s="1"/>
  <c r="K76" i="2"/>
  <c r="E76" i="5" s="1"/>
  <c r="I76" i="2"/>
  <c r="H76" i="2"/>
  <c r="J76" i="2" s="1"/>
  <c r="G76" i="2"/>
  <c r="F76" i="2"/>
  <c r="E76" i="2"/>
  <c r="D76" i="2"/>
  <c r="C76" i="2"/>
  <c r="B76" i="2"/>
  <c r="A76" i="2"/>
  <c r="AD75" i="2"/>
  <c r="AA75" i="2"/>
  <c r="Z75" i="2"/>
  <c r="O75" i="2"/>
  <c r="AE75" i="2" s="1"/>
  <c r="N75" i="2"/>
  <c r="M75" i="2"/>
  <c r="Q75" i="2" s="1"/>
  <c r="L75" i="2"/>
  <c r="P75" i="2" s="1"/>
  <c r="K75" i="2"/>
  <c r="E75" i="5" s="1"/>
  <c r="J75" i="2"/>
  <c r="AF75" i="2" s="1"/>
  <c r="I75" i="2"/>
  <c r="H75" i="2"/>
  <c r="G75" i="2"/>
  <c r="F75" i="2"/>
  <c r="E75" i="2"/>
  <c r="D75" i="2"/>
  <c r="C75" i="2"/>
  <c r="T75" i="2" s="1"/>
  <c r="G75" i="3" s="1"/>
  <c r="B75" i="2"/>
  <c r="A75" i="2"/>
  <c r="AA74" i="2"/>
  <c r="Z74" i="2"/>
  <c r="Y74" i="2"/>
  <c r="D74" i="4" s="1"/>
  <c r="T74" i="2"/>
  <c r="G74" i="3" s="1"/>
  <c r="O74" i="2"/>
  <c r="AE74" i="2" s="1"/>
  <c r="N74" i="2"/>
  <c r="M74" i="2"/>
  <c r="Q74" i="2" s="1"/>
  <c r="L74" i="2"/>
  <c r="P74" i="2" s="1"/>
  <c r="K74" i="2"/>
  <c r="E74" i="5" s="1"/>
  <c r="I74" i="2"/>
  <c r="H74" i="2"/>
  <c r="J74" i="2" s="1"/>
  <c r="G74" i="2"/>
  <c r="F74" i="2"/>
  <c r="E74" i="2"/>
  <c r="D74" i="2"/>
  <c r="C74" i="2"/>
  <c r="B74" i="2"/>
  <c r="A74" i="2"/>
  <c r="AD73" i="2"/>
  <c r="AA73" i="2"/>
  <c r="Z73" i="2"/>
  <c r="O73" i="2"/>
  <c r="AE73" i="2" s="1"/>
  <c r="N73" i="2"/>
  <c r="M73" i="2"/>
  <c r="Q73" i="2" s="1"/>
  <c r="L73" i="2"/>
  <c r="P73" i="2" s="1"/>
  <c r="K73" i="2"/>
  <c r="E73" i="5" s="1"/>
  <c r="J73" i="2"/>
  <c r="AF73" i="2" s="1"/>
  <c r="I73" i="2"/>
  <c r="H73" i="2"/>
  <c r="G73" i="2"/>
  <c r="F73" i="2"/>
  <c r="E73" i="2"/>
  <c r="D73" i="2"/>
  <c r="C73" i="2"/>
  <c r="T73" i="2" s="1"/>
  <c r="G73" i="3" s="1"/>
  <c r="B73" i="2"/>
  <c r="A73" i="2"/>
  <c r="AA72" i="2"/>
  <c r="Z72" i="2"/>
  <c r="Y72" i="2"/>
  <c r="D72" i="4" s="1"/>
  <c r="T72" i="2"/>
  <c r="G72" i="3" s="1"/>
  <c r="O72" i="2"/>
  <c r="AE72" i="2" s="1"/>
  <c r="N72" i="2"/>
  <c r="M72" i="2"/>
  <c r="Q72" i="2" s="1"/>
  <c r="L72" i="2"/>
  <c r="P72" i="2" s="1"/>
  <c r="K72" i="2"/>
  <c r="E72" i="5" s="1"/>
  <c r="I72" i="2"/>
  <c r="H72" i="2"/>
  <c r="J72" i="2" s="1"/>
  <c r="G72" i="2"/>
  <c r="F72" i="2"/>
  <c r="E72" i="2"/>
  <c r="D72" i="2"/>
  <c r="C72" i="2"/>
  <c r="B72" i="2"/>
  <c r="A72" i="2"/>
  <c r="AD71" i="2"/>
  <c r="AA71" i="2"/>
  <c r="Z71" i="2"/>
  <c r="O71" i="2"/>
  <c r="AE71" i="2" s="1"/>
  <c r="N71" i="2"/>
  <c r="M71" i="2"/>
  <c r="Q71" i="2" s="1"/>
  <c r="L71" i="2"/>
  <c r="P71" i="2" s="1"/>
  <c r="K71" i="2"/>
  <c r="E71" i="5" s="1"/>
  <c r="J71" i="2"/>
  <c r="AF71" i="2" s="1"/>
  <c r="I71" i="2"/>
  <c r="H71" i="2"/>
  <c r="G71" i="2"/>
  <c r="F71" i="2"/>
  <c r="E71" i="2"/>
  <c r="D71" i="2"/>
  <c r="C71" i="2"/>
  <c r="T71" i="2" s="1"/>
  <c r="G71" i="3" s="1"/>
  <c r="B71" i="2"/>
  <c r="A71" i="2"/>
  <c r="AA70" i="2"/>
  <c r="Z70" i="2"/>
  <c r="Y70" i="2"/>
  <c r="D70" i="4" s="1"/>
  <c r="T70" i="2"/>
  <c r="G70" i="3" s="1"/>
  <c r="O70" i="2"/>
  <c r="AE70" i="2" s="1"/>
  <c r="N70" i="2"/>
  <c r="M70" i="2"/>
  <c r="Q70" i="2" s="1"/>
  <c r="L70" i="2"/>
  <c r="P70" i="2" s="1"/>
  <c r="K70" i="2"/>
  <c r="E70" i="5" s="1"/>
  <c r="I70" i="2"/>
  <c r="H70" i="2"/>
  <c r="J70" i="2" s="1"/>
  <c r="G70" i="2"/>
  <c r="F70" i="2"/>
  <c r="E70" i="2"/>
  <c r="D70" i="2"/>
  <c r="C70" i="2"/>
  <c r="B70" i="2"/>
  <c r="A70" i="2"/>
  <c r="AD69" i="2"/>
  <c r="AA69" i="2"/>
  <c r="Z69" i="2"/>
  <c r="O69" i="2"/>
  <c r="AE69" i="2" s="1"/>
  <c r="N69" i="2"/>
  <c r="M69" i="2"/>
  <c r="Q69" i="2" s="1"/>
  <c r="L69" i="2"/>
  <c r="P69" i="2" s="1"/>
  <c r="K69" i="2"/>
  <c r="E69" i="5" s="1"/>
  <c r="J69" i="2"/>
  <c r="AF69" i="2" s="1"/>
  <c r="I69" i="2"/>
  <c r="H69" i="2"/>
  <c r="G69" i="2"/>
  <c r="F69" i="2"/>
  <c r="E69" i="2"/>
  <c r="D69" i="2"/>
  <c r="C69" i="2"/>
  <c r="T69" i="2" s="1"/>
  <c r="G69" i="3" s="1"/>
  <c r="B69" i="2"/>
  <c r="A69" i="2"/>
  <c r="AA68" i="2"/>
  <c r="Z68" i="2"/>
  <c r="Y68" i="2"/>
  <c r="D68" i="4" s="1"/>
  <c r="T68" i="2"/>
  <c r="G68" i="3" s="1"/>
  <c r="O68" i="2"/>
  <c r="AE68" i="2" s="1"/>
  <c r="N68" i="2"/>
  <c r="M68" i="2"/>
  <c r="Q68" i="2" s="1"/>
  <c r="L68" i="2"/>
  <c r="P68" i="2" s="1"/>
  <c r="K68" i="2"/>
  <c r="E68" i="5" s="1"/>
  <c r="I68" i="2"/>
  <c r="H68" i="2"/>
  <c r="J68" i="2" s="1"/>
  <c r="G68" i="2"/>
  <c r="F68" i="2"/>
  <c r="E68" i="2"/>
  <c r="D68" i="2"/>
  <c r="C68" i="2"/>
  <c r="B68" i="2"/>
  <c r="A68" i="2"/>
  <c r="AD67" i="2"/>
  <c r="AA67" i="2"/>
  <c r="Z67" i="2"/>
  <c r="O67" i="2"/>
  <c r="AE67" i="2" s="1"/>
  <c r="N67" i="2"/>
  <c r="M67" i="2"/>
  <c r="Q67" i="2" s="1"/>
  <c r="L67" i="2"/>
  <c r="P67" i="2" s="1"/>
  <c r="K67" i="2"/>
  <c r="E67" i="5" s="1"/>
  <c r="J67" i="2"/>
  <c r="AF67" i="2" s="1"/>
  <c r="I67" i="2"/>
  <c r="H67" i="2"/>
  <c r="G67" i="2"/>
  <c r="F67" i="2"/>
  <c r="E67" i="2"/>
  <c r="D67" i="2"/>
  <c r="C67" i="2"/>
  <c r="T67" i="2" s="1"/>
  <c r="G67" i="3" s="1"/>
  <c r="B67" i="2"/>
  <c r="A67" i="2"/>
  <c r="AA66" i="2"/>
  <c r="Z66" i="2"/>
  <c r="Y66" i="2"/>
  <c r="D66" i="4" s="1"/>
  <c r="T66" i="2"/>
  <c r="G66" i="3" s="1"/>
  <c r="O66" i="2"/>
  <c r="AE66" i="2" s="1"/>
  <c r="N66" i="2"/>
  <c r="M66" i="2"/>
  <c r="Q66" i="2" s="1"/>
  <c r="L66" i="2"/>
  <c r="P66" i="2" s="1"/>
  <c r="K66" i="2"/>
  <c r="E66" i="5" s="1"/>
  <c r="I66" i="2"/>
  <c r="H66" i="2"/>
  <c r="J66" i="2" s="1"/>
  <c r="G66" i="2"/>
  <c r="F66" i="2"/>
  <c r="E66" i="2"/>
  <c r="D66" i="2"/>
  <c r="C66" i="2"/>
  <c r="B66" i="2"/>
  <c r="A66" i="2"/>
  <c r="AD65" i="2"/>
  <c r="AA65" i="2"/>
  <c r="Z65" i="2"/>
  <c r="O65" i="2"/>
  <c r="AE65" i="2" s="1"/>
  <c r="N65" i="2"/>
  <c r="M65" i="2"/>
  <c r="Q65" i="2" s="1"/>
  <c r="L65" i="2"/>
  <c r="P65" i="2" s="1"/>
  <c r="K65" i="2"/>
  <c r="E65" i="5" s="1"/>
  <c r="J65" i="2"/>
  <c r="AF65" i="2" s="1"/>
  <c r="I65" i="2"/>
  <c r="H65" i="2"/>
  <c r="G65" i="2"/>
  <c r="F65" i="2"/>
  <c r="E65" i="2"/>
  <c r="D65" i="2"/>
  <c r="C65" i="2"/>
  <c r="T65" i="2" s="1"/>
  <c r="G65" i="3" s="1"/>
  <c r="B65" i="2"/>
  <c r="A65" i="2"/>
  <c r="AA64" i="2"/>
  <c r="Z64" i="2"/>
  <c r="Y64" i="2"/>
  <c r="D64" i="4" s="1"/>
  <c r="T64" i="2"/>
  <c r="G64" i="3" s="1"/>
  <c r="O64" i="2"/>
  <c r="AE64" i="2" s="1"/>
  <c r="N64" i="2"/>
  <c r="M64" i="2"/>
  <c r="Q64" i="2" s="1"/>
  <c r="L64" i="2"/>
  <c r="P64" i="2" s="1"/>
  <c r="K64" i="2"/>
  <c r="E64" i="5" s="1"/>
  <c r="I64" i="2"/>
  <c r="H64" i="2"/>
  <c r="J64" i="2" s="1"/>
  <c r="G64" i="2"/>
  <c r="F64" i="2"/>
  <c r="E64" i="2"/>
  <c r="D64" i="2"/>
  <c r="C64" i="2"/>
  <c r="B64" i="2"/>
  <c r="A64" i="2"/>
  <c r="AD63" i="2"/>
  <c r="AA63" i="2"/>
  <c r="Z63" i="2"/>
  <c r="O63" i="2"/>
  <c r="AE63" i="2" s="1"/>
  <c r="N63" i="2"/>
  <c r="M63" i="2"/>
  <c r="Q63" i="2" s="1"/>
  <c r="L63" i="2"/>
  <c r="P63" i="2" s="1"/>
  <c r="K63" i="2"/>
  <c r="E63" i="5" s="1"/>
  <c r="J63" i="2"/>
  <c r="AF63" i="2" s="1"/>
  <c r="I63" i="2"/>
  <c r="H63" i="2"/>
  <c r="G63" i="2"/>
  <c r="F63" i="2"/>
  <c r="E63" i="2"/>
  <c r="D63" i="2"/>
  <c r="C63" i="2"/>
  <c r="T63" i="2" s="1"/>
  <c r="G63" i="3" s="1"/>
  <c r="B63" i="2"/>
  <c r="A63" i="2"/>
  <c r="AA62" i="2"/>
  <c r="Z62" i="2"/>
  <c r="Y62" i="2"/>
  <c r="D62" i="4" s="1"/>
  <c r="T62" i="2"/>
  <c r="G62" i="3" s="1"/>
  <c r="O62" i="2"/>
  <c r="AE62" i="2" s="1"/>
  <c r="N62" i="2"/>
  <c r="M62" i="2"/>
  <c r="Q62" i="2" s="1"/>
  <c r="L62" i="2"/>
  <c r="P62" i="2" s="1"/>
  <c r="K62" i="2"/>
  <c r="E62" i="5" s="1"/>
  <c r="I62" i="2"/>
  <c r="H62" i="2"/>
  <c r="J62" i="2" s="1"/>
  <c r="G62" i="2"/>
  <c r="F62" i="2"/>
  <c r="E62" i="2"/>
  <c r="D62" i="2"/>
  <c r="C62" i="2"/>
  <c r="B62" i="2"/>
  <c r="A62" i="2"/>
  <c r="AD61" i="2"/>
  <c r="AA61" i="2"/>
  <c r="Z61" i="2"/>
  <c r="O61" i="2"/>
  <c r="AE61" i="2" s="1"/>
  <c r="N61" i="2"/>
  <c r="M61" i="2"/>
  <c r="Q61" i="2" s="1"/>
  <c r="L61" i="2"/>
  <c r="P61" i="2" s="1"/>
  <c r="K61" i="2"/>
  <c r="E61" i="5" s="1"/>
  <c r="J61" i="2"/>
  <c r="AF61" i="2" s="1"/>
  <c r="I61" i="2"/>
  <c r="H61" i="2"/>
  <c r="G61" i="2"/>
  <c r="F61" i="2"/>
  <c r="E61" i="2"/>
  <c r="D61" i="2"/>
  <c r="C61" i="2"/>
  <c r="T61" i="2" s="1"/>
  <c r="G61" i="3" s="1"/>
  <c r="B61" i="2"/>
  <c r="A61" i="2"/>
  <c r="AA60" i="2"/>
  <c r="Z60" i="2"/>
  <c r="Y60" i="2"/>
  <c r="D60" i="4" s="1"/>
  <c r="T60" i="2"/>
  <c r="G60" i="3" s="1"/>
  <c r="O60" i="2"/>
  <c r="AE60" i="2" s="1"/>
  <c r="N60" i="2"/>
  <c r="M60" i="2"/>
  <c r="Q60" i="2" s="1"/>
  <c r="L60" i="2"/>
  <c r="P60" i="2" s="1"/>
  <c r="K60" i="2"/>
  <c r="E60" i="5" s="1"/>
  <c r="I60" i="2"/>
  <c r="H60" i="2"/>
  <c r="J60" i="2" s="1"/>
  <c r="G60" i="2"/>
  <c r="F60" i="2"/>
  <c r="E60" i="2"/>
  <c r="D60" i="2"/>
  <c r="C60" i="2"/>
  <c r="B60" i="2"/>
  <c r="A60" i="2"/>
  <c r="AD59" i="2"/>
  <c r="AA59" i="2"/>
  <c r="Z59" i="2"/>
  <c r="O59" i="2"/>
  <c r="AE59" i="2" s="1"/>
  <c r="N59" i="2"/>
  <c r="M59" i="2"/>
  <c r="Q59" i="2" s="1"/>
  <c r="L59" i="2"/>
  <c r="P59" i="2" s="1"/>
  <c r="K59" i="2"/>
  <c r="E59" i="5" s="1"/>
  <c r="J59" i="2"/>
  <c r="AF59" i="2" s="1"/>
  <c r="I59" i="2"/>
  <c r="H59" i="2"/>
  <c r="G59" i="2"/>
  <c r="F59" i="2"/>
  <c r="E59" i="2"/>
  <c r="D59" i="2"/>
  <c r="C59" i="2"/>
  <c r="T59" i="2" s="1"/>
  <c r="G59" i="3" s="1"/>
  <c r="B59" i="2"/>
  <c r="A59" i="2"/>
  <c r="AA58" i="2"/>
  <c r="Z58" i="2"/>
  <c r="Y58" i="2"/>
  <c r="D58" i="4" s="1"/>
  <c r="T58" i="2"/>
  <c r="G58" i="3" s="1"/>
  <c r="O58" i="2"/>
  <c r="AE58" i="2" s="1"/>
  <c r="N58" i="2"/>
  <c r="M58" i="2"/>
  <c r="Q58" i="2" s="1"/>
  <c r="L58" i="2"/>
  <c r="P58" i="2" s="1"/>
  <c r="K58" i="2"/>
  <c r="E58" i="5" s="1"/>
  <c r="I58" i="2"/>
  <c r="H58" i="2"/>
  <c r="J58" i="2" s="1"/>
  <c r="G58" i="2"/>
  <c r="F58" i="2"/>
  <c r="E58" i="2"/>
  <c r="D58" i="2"/>
  <c r="C58" i="2"/>
  <c r="B58" i="2"/>
  <c r="A58" i="2"/>
  <c r="AD57" i="2"/>
  <c r="AA57" i="2"/>
  <c r="Z57" i="2"/>
  <c r="O57" i="2"/>
  <c r="AE57" i="2" s="1"/>
  <c r="N57" i="2"/>
  <c r="M57" i="2"/>
  <c r="Q57" i="2" s="1"/>
  <c r="L57" i="2"/>
  <c r="P57" i="2" s="1"/>
  <c r="K57" i="2"/>
  <c r="E57" i="5" s="1"/>
  <c r="J57" i="2"/>
  <c r="AF57" i="2" s="1"/>
  <c r="I57" i="2"/>
  <c r="H57" i="2"/>
  <c r="G57" i="2"/>
  <c r="F57" i="2"/>
  <c r="E57" i="2"/>
  <c r="D57" i="2"/>
  <c r="C57" i="2"/>
  <c r="T57" i="2" s="1"/>
  <c r="G57" i="3" s="1"/>
  <c r="B57" i="2"/>
  <c r="A57" i="2"/>
  <c r="AA56" i="2"/>
  <c r="Z56" i="2"/>
  <c r="Y56" i="2"/>
  <c r="D56" i="4" s="1"/>
  <c r="T56" i="2"/>
  <c r="G56" i="3" s="1"/>
  <c r="O56" i="2"/>
  <c r="AE56" i="2" s="1"/>
  <c r="N56" i="2"/>
  <c r="M56" i="2"/>
  <c r="Q56" i="2" s="1"/>
  <c r="L56" i="2"/>
  <c r="P56" i="2" s="1"/>
  <c r="K56" i="2"/>
  <c r="E56" i="5" s="1"/>
  <c r="I56" i="2"/>
  <c r="H56" i="2"/>
  <c r="J56" i="2" s="1"/>
  <c r="G56" i="2"/>
  <c r="F56" i="2"/>
  <c r="E56" i="2"/>
  <c r="D56" i="2"/>
  <c r="C56" i="2"/>
  <c r="B56" i="2"/>
  <c r="A56" i="2"/>
  <c r="AD55" i="2"/>
  <c r="AA55" i="2"/>
  <c r="Z55" i="2"/>
  <c r="O55" i="2"/>
  <c r="AE55" i="2" s="1"/>
  <c r="N55" i="2"/>
  <c r="M55" i="2"/>
  <c r="Q55" i="2" s="1"/>
  <c r="L55" i="2"/>
  <c r="P55" i="2" s="1"/>
  <c r="K55" i="2"/>
  <c r="E55" i="5" s="1"/>
  <c r="J55" i="2"/>
  <c r="AF55" i="2" s="1"/>
  <c r="I55" i="2"/>
  <c r="H55" i="2"/>
  <c r="G55" i="2"/>
  <c r="F55" i="2"/>
  <c r="E55" i="2"/>
  <c r="D55" i="2"/>
  <c r="C55" i="2"/>
  <c r="T55" i="2" s="1"/>
  <c r="G55" i="3" s="1"/>
  <c r="B55" i="2"/>
  <c r="A55" i="2"/>
  <c r="AA54" i="2"/>
  <c r="Z54" i="2"/>
  <c r="Y54" i="2"/>
  <c r="D54" i="4" s="1"/>
  <c r="T54" i="2"/>
  <c r="G54" i="3" s="1"/>
  <c r="O54" i="2"/>
  <c r="AE54" i="2" s="1"/>
  <c r="N54" i="2"/>
  <c r="M54" i="2"/>
  <c r="Q54" i="2" s="1"/>
  <c r="L54" i="2"/>
  <c r="P54" i="2" s="1"/>
  <c r="K54" i="2"/>
  <c r="E54" i="5" s="1"/>
  <c r="I54" i="2"/>
  <c r="H54" i="2"/>
  <c r="J54" i="2" s="1"/>
  <c r="G54" i="2"/>
  <c r="F54" i="2"/>
  <c r="E54" i="2"/>
  <c r="D54" i="2"/>
  <c r="C54" i="2"/>
  <c r="B54" i="2"/>
  <c r="A54" i="2"/>
  <c r="AD53" i="2"/>
  <c r="AA53" i="2"/>
  <c r="Z53" i="2"/>
  <c r="O53" i="2"/>
  <c r="AE53" i="2" s="1"/>
  <c r="N53" i="2"/>
  <c r="M53" i="2"/>
  <c r="Q53" i="2" s="1"/>
  <c r="L53" i="2"/>
  <c r="P53" i="2" s="1"/>
  <c r="K53" i="2"/>
  <c r="E53" i="5" s="1"/>
  <c r="J53" i="2"/>
  <c r="AF53" i="2" s="1"/>
  <c r="I53" i="2"/>
  <c r="H53" i="2"/>
  <c r="G53" i="2"/>
  <c r="F53" i="2"/>
  <c r="E53" i="2"/>
  <c r="D53" i="2"/>
  <c r="C53" i="2"/>
  <c r="T53" i="2" s="1"/>
  <c r="G53" i="3" s="1"/>
  <c r="B53" i="2"/>
  <c r="A53" i="2"/>
  <c r="AA52" i="2"/>
  <c r="Z52" i="2"/>
  <c r="Y52" i="2"/>
  <c r="D52" i="4" s="1"/>
  <c r="T52" i="2"/>
  <c r="G52" i="3" s="1"/>
  <c r="O52" i="2"/>
  <c r="AE52" i="2" s="1"/>
  <c r="N52" i="2"/>
  <c r="M52" i="2"/>
  <c r="Q52" i="2" s="1"/>
  <c r="L52" i="2"/>
  <c r="P52" i="2" s="1"/>
  <c r="K52" i="2"/>
  <c r="E52" i="5" s="1"/>
  <c r="I52" i="2"/>
  <c r="H52" i="2"/>
  <c r="J52" i="2" s="1"/>
  <c r="G52" i="2"/>
  <c r="F52" i="2"/>
  <c r="E52" i="2"/>
  <c r="D52" i="2"/>
  <c r="C52" i="2"/>
  <c r="B52" i="2"/>
  <c r="A52" i="2"/>
  <c r="AD51" i="2"/>
  <c r="AA51" i="2"/>
  <c r="Z51" i="2"/>
  <c r="O51" i="2"/>
  <c r="AE51" i="2" s="1"/>
  <c r="N51" i="2"/>
  <c r="M51" i="2"/>
  <c r="Q51" i="2" s="1"/>
  <c r="L51" i="2"/>
  <c r="P51" i="2" s="1"/>
  <c r="K51" i="2"/>
  <c r="E51" i="5" s="1"/>
  <c r="J51" i="2"/>
  <c r="AF51" i="2" s="1"/>
  <c r="I51" i="2"/>
  <c r="H51" i="2"/>
  <c r="G51" i="2"/>
  <c r="F51" i="2"/>
  <c r="E51" i="2"/>
  <c r="D51" i="2"/>
  <c r="C51" i="2"/>
  <c r="T51" i="2" s="1"/>
  <c r="G51" i="3" s="1"/>
  <c r="B51" i="2"/>
  <c r="A51" i="2"/>
  <c r="AA50" i="2"/>
  <c r="Z50" i="2"/>
  <c r="Y50" i="2"/>
  <c r="D50" i="4" s="1"/>
  <c r="T50" i="2"/>
  <c r="G50" i="3" s="1"/>
  <c r="O50" i="2"/>
  <c r="AE50" i="2" s="1"/>
  <c r="N50" i="2"/>
  <c r="M50" i="2"/>
  <c r="Q50" i="2" s="1"/>
  <c r="L50" i="2"/>
  <c r="P50" i="2" s="1"/>
  <c r="K50" i="2"/>
  <c r="E50" i="5" s="1"/>
  <c r="I50" i="2"/>
  <c r="H50" i="2"/>
  <c r="J50" i="2" s="1"/>
  <c r="G50" i="2"/>
  <c r="F50" i="2"/>
  <c r="E50" i="2"/>
  <c r="D50" i="2"/>
  <c r="C50" i="2"/>
  <c r="B50" i="2"/>
  <c r="A50" i="2"/>
  <c r="AD49" i="2"/>
  <c r="AA49" i="2"/>
  <c r="C49" i="7" s="1"/>
  <c r="D49" i="7" s="1"/>
  <c r="Z49" i="2"/>
  <c r="O49" i="2"/>
  <c r="AE49" i="2" s="1"/>
  <c r="N49" i="2"/>
  <c r="M49" i="2"/>
  <c r="Q49" i="2" s="1"/>
  <c r="L49" i="2"/>
  <c r="P49" i="2" s="1"/>
  <c r="K49" i="2"/>
  <c r="E49" i="5" s="1"/>
  <c r="J49" i="2"/>
  <c r="AF49" i="2" s="1"/>
  <c r="I49" i="2"/>
  <c r="H49" i="2"/>
  <c r="G49" i="2"/>
  <c r="F49" i="2"/>
  <c r="E49" i="2"/>
  <c r="D49" i="2"/>
  <c r="C49" i="2"/>
  <c r="T49" i="2" s="1"/>
  <c r="G49" i="3" s="1"/>
  <c r="B49" i="2"/>
  <c r="A49" i="2"/>
  <c r="AA48" i="2"/>
  <c r="C48" i="7" s="1"/>
  <c r="D48" i="7" s="1"/>
  <c r="Z48" i="2"/>
  <c r="Y48" i="2"/>
  <c r="D48" i="4" s="1"/>
  <c r="T48" i="2"/>
  <c r="G48" i="3" s="1"/>
  <c r="O48" i="2"/>
  <c r="AE48" i="2" s="1"/>
  <c r="N48" i="2"/>
  <c r="M48" i="2"/>
  <c r="Q48" i="2" s="1"/>
  <c r="L48" i="2"/>
  <c r="P48" i="2" s="1"/>
  <c r="K48" i="2"/>
  <c r="E48" i="5" s="1"/>
  <c r="I48" i="2"/>
  <c r="H48" i="2"/>
  <c r="J48" i="2" s="1"/>
  <c r="G48" i="2"/>
  <c r="F48" i="2"/>
  <c r="E48" i="2"/>
  <c r="D48" i="2"/>
  <c r="C48" i="2"/>
  <c r="B48" i="2"/>
  <c r="A48" i="2"/>
  <c r="AD47" i="2"/>
  <c r="AA47" i="2"/>
  <c r="C47" i="7" s="1"/>
  <c r="D47" i="7" s="1"/>
  <c r="Z47" i="2"/>
  <c r="O47" i="2"/>
  <c r="AE47" i="2" s="1"/>
  <c r="N47" i="2"/>
  <c r="M47" i="2"/>
  <c r="Q47" i="2" s="1"/>
  <c r="L47" i="2"/>
  <c r="P47" i="2" s="1"/>
  <c r="K47" i="2"/>
  <c r="E47" i="5" s="1"/>
  <c r="J47" i="2"/>
  <c r="AF47" i="2" s="1"/>
  <c r="I47" i="2"/>
  <c r="H47" i="2"/>
  <c r="G47" i="2"/>
  <c r="F47" i="2"/>
  <c r="E47" i="2"/>
  <c r="D47" i="2"/>
  <c r="C47" i="2"/>
  <c r="T47" i="2" s="1"/>
  <c r="G47" i="3" s="1"/>
  <c r="B47" i="2"/>
  <c r="A47" i="2"/>
  <c r="AA46" i="2"/>
  <c r="C46" i="7" s="1"/>
  <c r="D46" i="7" s="1"/>
  <c r="Z46" i="2"/>
  <c r="Y46" i="2"/>
  <c r="T46" i="2"/>
  <c r="G46" i="3" s="1"/>
  <c r="O46" i="2"/>
  <c r="AE46" i="2" s="1"/>
  <c r="N46" i="2"/>
  <c r="M46" i="2"/>
  <c r="AD46" i="2" s="1"/>
  <c r="L46" i="2"/>
  <c r="P46" i="2" s="1"/>
  <c r="K46" i="2"/>
  <c r="E46" i="5" s="1"/>
  <c r="I46" i="2"/>
  <c r="H46" i="2"/>
  <c r="G46" i="2"/>
  <c r="F46" i="2"/>
  <c r="E46" i="2"/>
  <c r="D46" i="2"/>
  <c r="C46" i="2"/>
  <c r="B46" i="2"/>
  <c r="A46" i="2"/>
  <c r="AE45" i="2"/>
  <c r="AD45" i="2"/>
  <c r="AA45" i="2"/>
  <c r="C45" i="7" s="1"/>
  <c r="D45" i="7" s="1"/>
  <c r="Z45" i="2"/>
  <c r="O45" i="2"/>
  <c r="N45" i="2"/>
  <c r="M45" i="2"/>
  <c r="Q45" i="2" s="1"/>
  <c r="L45" i="2"/>
  <c r="P45" i="2" s="1"/>
  <c r="K45" i="2"/>
  <c r="E45" i="5" s="1"/>
  <c r="J45" i="2"/>
  <c r="AF45" i="2" s="1"/>
  <c r="I45" i="2"/>
  <c r="H45" i="2"/>
  <c r="G45" i="2"/>
  <c r="Y45" i="2" s="1"/>
  <c r="D45" i="4" s="1"/>
  <c r="F45" i="2"/>
  <c r="E45" i="2"/>
  <c r="D45" i="2"/>
  <c r="C45" i="2"/>
  <c r="B45" i="2"/>
  <c r="A45" i="2"/>
  <c r="AA44" i="2"/>
  <c r="C44" i="7" s="1"/>
  <c r="D44" i="7" s="1"/>
  <c r="Z44" i="2"/>
  <c r="T44" i="2"/>
  <c r="G44" i="3" s="1"/>
  <c r="O44" i="2"/>
  <c r="AE44" i="2" s="1"/>
  <c r="N44" i="2"/>
  <c r="M44" i="2"/>
  <c r="AD44" i="2" s="1"/>
  <c r="L44" i="2"/>
  <c r="P44" i="2" s="1"/>
  <c r="K44" i="2"/>
  <c r="E44" i="5" s="1"/>
  <c r="I44" i="2"/>
  <c r="H44" i="2"/>
  <c r="G44" i="2"/>
  <c r="F44" i="2"/>
  <c r="E44" i="2"/>
  <c r="D44" i="2"/>
  <c r="Y44" i="2" s="1"/>
  <c r="C44" i="2"/>
  <c r="B44" i="2"/>
  <c r="A44" i="2"/>
  <c r="AD43" i="2"/>
  <c r="AA43" i="2"/>
  <c r="Z43" i="2"/>
  <c r="O43" i="2"/>
  <c r="AE43" i="2" s="1"/>
  <c r="N43" i="2"/>
  <c r="M43" i="2"/>
  <c r="Q43" i="2" s="1"/>
  <c r="R43" i="2" s="1"/>
  <c r="S43" i="2" s="1"/>
  <c r="L43" i="2"/>
  <c r="P43" i="2" s="1"/>
  <c r="K43" i="2"/>
  <c r="E43" i="5" s="1"/>
  <c r="J43" i="2"/>
  <c r="I43" i="2"/>
  <c r="H43" i="2"/>
  <c r="G43" i="2"/>
  <c r="F43" i="2"/>
  <c r="E43" i="2"/>
  <c r="D43" i="2"/>
  <c r="C43" i="2"/>
  <c r="B43" i="2"/>
  <c r="A43" i="2"/>
  <c r="AA42" i="2"/>
  <c r="Z42" i="2"/>
  <c r="T42" i="2"/>
  <c r="G42" i="3" s="1"/>
  <c r="O42" i="2"/>
  <c r="AE42" i="2" s="1"/>
  <c r="N42" i="2"/>
  <c r="M42" i="2"/>
  <c r="L42" i="2"/>
  <c r="P42" i="2" s="1"/>
  <c r="K42" i="2"/>
  <c r="E42" i="5" s="1"/>
  <c r="I42" i="2"/>
  <c r="H42" i="2"/>
  <c r="J42" i="2" s="1"/>
  <c r="G42" i="2"/>
  <c r="F42" i="2"/>
  <c r="E42" i="2"/>
  <c r="D42" i="2"/>
  <c r="C42" i="2"/>
  <c r="B42" i="2"/>
  <c r="A42" i="2"/>
  <c r="AD41" i="2"/>
  <c r="AA41" i="2"/>
  <c r="Z41" i="2"/>
  <c r="O41" i="2"/>
  <c r="AE41" i="2" s="1"/>
  <c r="N41" i="2"/>
  <c r="M41" i="2"/>
  <c r="L41" i="2"/>
  <c r="K41" i="2"/>
  <c r="E41" i="5" s="1"/>
  <c r="J41" i="2"/>
  <c r="I41" i="2"/>
  <c r="H41" i="2"/>
  <c r="G41" i="2"/>
  <c r="Y41" i="2" s="1"/>
  <c r="D41" i="4" s="1"/>
  <c r="F41" i="2"/>
  <c r="E41" i="2"/>
  <c r="D41" i="2"/>
  <c r="C41" i="2"/>
  <c r="B41" i="2"/>
  <c r="A41" i="2"/>
  <c r="AA40" i="2"/>
  <c r="Z40" i="2"/>
  <c r="T40" i="2"/>
  <c r="G40" i="3" s="1"/>
  <c r="O40" i="2"/>
  <c r="AE40" i="2" s="1"/>
  <c r="N40" i="2"/>
  <c r="M40" i="2"/>
  <c r="AD40" i="2" s="1"/>
  <c r="L40" i="2"/>
  <c r="P40" i="2" s="1"/>
  <c r="K40" i="2"/>
  <c r="E40" i="5" s="1"/>
  <c r="I40" i="2"/>
  <c r="H40" i="2"/>
  <c r="G40" i="2"/>
  <c r="F40" i="2"/>
  <c r="E40" i="2"/>
  <c r="D40" i="2"/>
  <c r="C40" i="2"/>
  <c r="B40" i="2"/>
  <c r="A40" i="2"/>
  <c r="AD39" i="2"/>
  <c r="AA39" i="2"/>
  <c r="Z39" i="2"/>
  <c r="O39" i="2"/>
  <c r="AE39" i="2" s="1"/>
  <c r="N39" i="2"/>
  <c r="M39" i="2"/>
  <c r="Q39" i="2" s="1"/>
  <c r="R39" i="2" s="1"/>
  <c r="S39" i="2" s="1"/>
  <c r="L39" i="2"/>
  <c r="P39" i="2" s="1"/>
  <c r="K39" i="2"/>
  <c r="E39" i="5" s="1"/>
  <c r="J39" i="2"/>
  <c r="I39" i="2"/>
  <c r="H39" i="2"/>
  <c r="G39" i="2"/>
  <c r="F39" i="2"/>
  <c r="E39" i="2"/>
  <c r="D39" i="2"/>
  <c r="C39" i="2"/>
  <c r="B39" i="2"/>
  <c r="A39" i="2"/>
  <c r="AA38" i="2"/>
  <c r="Z38" i="2"/>
  <c r="T38" i="2"/>
  <c r="G38" i="3" s="1"/>
  <c r="O38" i="2"/>
  <c r="AE38" i="2" s="1"/>
  <c r="N38" i="2"/>
  <c r="M38" i="2"/>
  <c r="L38" i="2"/>
  <c r="P38" i="2" s="1"/>
  <c r="K38" i="2"/>
  <c r="E38" i="5" s="1"/>
  <c r="I38" i="2"/>
  <c r="H38" i="2"/>
  <c r="J38" i="2" s="1"/>
  <c r="G38" i="2"/>
  <c r="F38" i="2"/>
  <c r="E38" i="2"/>
  <c r="D38" i="2"/>
  <c r="C38" i="2"/>
  <c r="B38" i="2"/>
  <c r="A38" i="2"/>
  <c r="AD37" i="2"/>
  <c r="AA37" i="2"/>
  <c r="Z37" i="2"/>
  <c r="O37" i="2"/>
  <c r="AE37" i="2" s="1"/>
  <c r="N37" i="2"/>
  <c r="M37" i="2"/>
  <c r="L37" i="2"/>
  <c r="K37" i="2"/>
  <c r="E37" i="5" s="1"/>
  <c r="J37" i="2"/>
  <c r="I37" i="2"/>
  <c r="H37" i="2"/>
  <c r="G37" i="2"/>
  <c r="Y37" i="2" s="1"/>
  <c r="D37" i="4" s="1"/>
  <c r="F37" i="2"/>
  <c r="E37" i="2"/>
  <c r="D37" i="2"/>
  <c r="C37" i="2"/>
  <c r="B37" i="2"/>
  <c r="A37" i="2"/>
  <c r="AA36" i="2"/>
  <c r="Z36" i="2"/>
  <c r="T36" i="2"/>
  <c r="G36" i="3" s="1"/>
  <c r="O36" i="2"/>
  <c r="AE36" i="2" s="1"/>
  <c r="N36" i="2"/>
  <c r="M36" i="2"/>
  <c r="AD36" i="2" s="1"/>
  <c r="L36" i="2"/>
  <c r="P36" i="2" s="1"/>
  <c r="K36" i="2"/>
  <c r="E36" i="5" s="1"/>
  <c r="I36" i="2"/>
  <c r="H36" i="2"/>
  <c r="G36" i="2"/>
  <c r="F36" i="2"/>
  <c r="E36" i="2"/>
  <c r="D36" i="2"/>
  <c r="C36" i="2"/>
  <c r="B36" i="2"/>
  <c r="A36" i="2"/>
  <c r="AD35" i="2"/>
  <c r="AA35" i="2"/>
  <c r="C35" i="7" s="1"/>
  <c r="D35" i="7" s="1"/>
  <c r="Z35" i="2"/>
  <c r="O35" i="2"/>
  <c r="AE35" i="2" s="1"/>
  <c r="N35" i="2"/>
  <c r="M35" i="2"/>
  <c r="Q35" i="2" s="1"/>
  <c r="R35" i="2" s="1"/>
  <c r="S35" i="2" s="1"/>
  <c r="L35" i="2"/>
  <c r="P35" i="2" s="1"/>
  <c r="K35" i="2"/>
  <c r="E35" i="5" s="1"/>
  <c r="J35" i="2"/>
  <c r="I35" i="2"/>
  <c r="H35" i="2"/>
  <c r="G35" i="2"/>
  <c r="F35" i="2"/>
  <c r="E35" i="2"/>
  <c r="D35" i="2"/>
  <c r="C35" i="2"/>
  <c r="B35" i="2"/>
  <c r="A35" i="2"/>
  <c r="AA34" i="2"/>
  <c r="C34" i="7" s="1"/>
  <c r="D34" i="7" s="1"/>
  <c r="Z34" i="2"/>
  <c r="T34" i="2"/>
  <c r="G34" i="3" s="1"/>
  <c r="O34" i="2"/>
  <c r="AE34" i="2" s="1"/>
  <c r="N34" i="2"/>
  <c r="M34" i="2"/>
  <c r="L34" i="2"/>
  <c r="P34" i="2" s="1"/>
  <c r="K34" i="2"/>
  <c r="E34" i="5" s="1"/>
  <c r="I34" i="2"/>
  <c r="H34" i="2"/>
  <c r="J34" i="2" s="1"/>
  <c r="G34" i="2"/>
  <c r="F34" i="2"/>
  <c r="E34" i="2"/>
  <c r="D34" i="2"/>
  <c r="C34" i="2"/>
  <c r="B34" i="2"/>
  <c r="A34" i="2"/>
  <c r="AD33" i="2"/>
  <c r="AA33" i="2"/>
  <c r="C33" i="7" s="1"/>
  <c r="D33" i="7" s="1"/>
  <c r="Z33" i="2"/>
  <c r="O33" i="2"/>
  <c r="AE33" i="2" s="1"/>
  <c r="N33" i="2"/>
  <c r="M33" i="2"/>
  <c r="L33" i="2"/>
  <c r="K33" i="2"/>
  <c r="E33" i="5" s="1"/>
  <c r="J33" i="2"/>
  <c r="I33" i="2"/>
  <c r="H33" i="2"/>
  <c r="G33" i="2"/>
  <c r="Y33" i="2" s="1"/>
  <c r="D33" i="4" s="1"/>
  <c r="F33" i="2"/>
  <c r="E33" i="2"/>
  <c r="D33" i="2"/>
  <c r="C33" i="2"/>
  <c r="B33" i="2"/>
  <c r="A33" i="2"/>
  <c r="AA32" i="2"/>
  <c r="C32" i="7" s="1"/>
  <c r="D32" i="7" s="1"/>
  <c r="Z32" i="2"/>
  <c r="T32" i="2"/>
  <c r="G32" i="3" s="1"/>
  <c r="O32" i="2"/>
  <c r="AE32" i="2" s="1"/>
  <c r="N32" i="2"/>
  <c r="M32" i="2"/>
  <c r="AD32" i="2" s="1"/>
  <c r="L32" i="2"/>
  <c r="P32" i="2" s="1"/>
  <c r="K32" i="2"/>
  <c r="E32" i="5" s="1"/>
  <c r="I32" i="2"/>
  <c r="H32" i="2"/>
  <c r="G32" i="2"/>
  <c r="F32" i="2"/>
  <c r="E32" i="2"/>
  <c r="D32" i="2"/>
  <c r="C32" i="2"/>
  <c r="B32" i="2"/>
  <c r="A32" i="2"/>
  <c r="AD31" i="2"/>
  <c r="AA31" i="2"/>
  <c r="C31" i="7" s="1"/>
  <c r="D31" i="7" s="1"/>
  <c r="Z31" i="2"/>
  <c r="O31" i="2"/>
  <c r="AE31" i="2" s="1"/>
  <c r="N31" i="2"/>
  <c r="M31" i="2"/>
  <c r="Q31" i="2" s="1"/>
  <c r="R31" i="2" s="1"/>
  <c r="S31" i="2" s="1"/>
  <c r="L31" i="2"/>
  <c r="P31" i="2" s="1"/>
  <c r="K31" i="2"/>
  <c r="E31" i="5" s="1"/>
  <c r="J31" i="2"/>
  <c r="I31" i="2"/>
  <c r="H31" i="2"/>
  <c r="G31" i="2"/>
  <c r="F31" i="2"/>
  <c r="E31" i="2"/>
  <c r="D31" i="2"/>
  <c r="C31" i="2"/>
  <c r="B31" i="2"/>
  <c r="A31" i="2"/>
  <c r="AA30" i="2"/>
  <c r="C30" i="7" s="1"/>
  <c r="D30" i="7" s="1"/>
  <c r="Z30" i="2"/>
  <c r="T30" i="2"/>
  <c r="G30" i="3" s="1"/>
  <c r="O30" i="2"/>
  <c r="AE30" i="2" s="1"/>
  <c r="N30" i="2"/>
  <c r="M30" i="2"/>
  <c r="L30" i="2"/>
  <c r="P30" i="2" s="1"/>
  <c r="K30" i="2"/>
  <c r="E30" i="5" s="1"/>
  <c r="I30" i="2"/>
  <c r="H30" i="2"/>
  <c r="G30" i="2"/>
  <c r="F30" i="2"/>
  <c r="E30" i="2"/>
  <c r="D30" i="2"/>
  <c r="C30" i="2"/>
  <c r="B30" i="2"/>
  <c r="A30" i="2"/>
  <c r="AD29" i="2"/>
  <c r="AA29" i="2"/>
  <c r="Z29" i="2"/>
  <c r="O29" i="2"/>
  <c r="AE29" i="2" s="1"/>
  <c r="N29" i="2"/>
  <c r="M29" i="2"/>
  <c r="L29" i="2"/>
  <c r="K29" i="2"/>
  <c r="E29" i="5" s="1"/>
  <c r="J29" i="2"/>
  <c r="I29" i="2"/>
  <c r="H29" i="2"/>
  <c r="G29" i="2"/>
  <c r="Y29" i="2" s="1"/>
  <c r="D29" i="4" s="1"/>
  <c r="F29" i="2"/>
  <c r="E29" i="2"/>
  <c r="D29" i="2"/>
  <c r="C29" i="2"/>
  <c r="B29" i="2"/>
  <c r="A29" i="2"/>
  <c r="AA28" i="2"/>
  <c r="Z28" i="2"/>
  <c r="Y28" i="2"/>
  <c r="T28" i="2"/>
  <c r="G28" i="3" s="1"/>
  <c r="O28" i="2"/>
  <c r="AE28" i="2" s="1"/>
  <c r="N28" i="2"/>
  <c r="M28" i="2"/>
  <c r="AD28" i="2" s="1"/>
  <c r="L28" i="2"/>
  <c r="P28" i="2" s="1"/>
  <c r="K28" i="2"/>
  <c r="E28" i="5" s="1"/>
  <c r="I28" i="2"/>
  <c r="H28" i="2"/>
  <c r="G28" i="2"/>
  <c r="F28" i="2"/>
  <c r="E28" i="2"/>
  <c r="D28" i="2"/>
  <c r="C28" i="2"/>
  <c r="B28" i="2"/>
  <c r="A28" i="2"/>
  <c r="AD27" i="2"/>
  <c r="AA27" i="2"/>
  <c r="Z27" i="2"/>
  <c r="O27" i="2"/>
  <c r="AE27" i="2" s="1"/>
  <c r="N27" i="2"/>
  <c r="M27" i="2"/>
  <c r="Q27" i="2" s="1"/>
  <c r="L27" i="2"/>
  <c r="K27" i="2"/>
  <c r="E27" i="5" s="1"/>
  <c r="J27" i="2"/>
  <c r="I27" i="2"/>
  <c r="H27" i="2"/>
  <c r="G27" i="2"/>
  <c r="Y27" i="2" s="1"/>
  <c r="F27" i="2"/>
  <c r="E27" i="2"/>
  <c r="D27" i="2"/>
  <c r="C27" i="2"/>
  <c r="B27" i="2"/>
  <c r="A27" i="2"/>
  <c r="AE26" i="2"/>
  <c r="AA26" i="2"/>
  <c r="Z26" i="2"/>
  <c r="O26" i="2"/>
  <c r="N26" i="2"/>
  <c r="M26" i="2"/>
  <c r="AD26" i="2" s="1"/>
  <c r="L26" i="2"/>
  <c r="P26" i="2" s="1"/>
  <c r="K26" i="2"/>
  <c r="E26" i="5" s="1"/>
  <c r="I26" i="2"/>
  <c r="H26" i="2"/>
  <c r="J26" i="2" s="1"/>
  <c r="AF26" i="2" s="1"/>
  <c r="G26" i="2"/>
  <c r="F26" i="2"/>
  <c r="E26" i="2"/>
  <c r="D26" i="2"/>
  <c r="Y26" i="2" s="1"/>
  <c r="C26" i="2"/>
  <c r="T26" i="2" s="1"/>
  <c r="G26" i="3" s="1"/>
  <c r="B26" i="2"/>
  <c r="A26" i="2"/>
  <c r="AA25" i="2"/>
  <c r="Z25" i="2"/>
  <c r="O25" i="2"/>
  <c r="N25" i="2"/>
  <c r="AE25" i="2" s="1"/>
  <c r="M25" i="2"/>
  <c r="Q25" i="2" s="1"/>
  <c r="L25" i="2"/>
  <c r="P25" i="2" s="1"/>
  <c r="K25" i="2"/>
  <c r="E25" i="5" s="1"/>
  <c r="J25" i="2"/>
  <c r="I25" i="2"/>
  <c r="H25" i="2"/>
  <c r="G25" i="2"/>
  <c r="F25" i="2"/>
  <c r="E25" i="2"/>
  <c r="D25" i="2"/>
  <c r="Y25" i="2" s="1"/>
  <c r="C25" i="2"/>
  <c r="B25" i="2"/>
  <c r="A25" i="2"/>
  <c r="AA24" i="2"/>
  <c r="Z24" i="2"/>
  <c r="T24" i="2"/>
  <c r="G24" i="3" s="1"/>
  <c r="O24" i="2"/>
  <c r="AE24" i="2" s="1"/>
  <c r="N24" i="2"/>
  <c r="M24" i="2"/>
  <c r="Q24" i="2" s="1"/>
  <c r="L24" i="2"/>
  <c r="AD24" i="2" s="1"/>
  <c r="K24" i="2"/>
  <c r="E24" i="5" s="1"/>
  <c r="I24" i="2"/>
  <c r="H24" i="2"/>
  <c r="J24" i="2" s="1"/>
  <c r="G24" i="2"/>
  <c r="F24" i="2"/>
  <c r="E24" i="2"/>
  <c r="D24" i="2"/>
  <c r="C24" i="2"/>
  <c r="B24" i="2"/>
  <c r="A24" i="2"/>
  <c r="AD23" i="2"/>
  <c r="AA23" i="2"/>
  <c r="Z23" i="2"/>
  <c r="T23" i="2"/>
  <c r="G23" i="3" s="1"/>
  <c r="O23" i="2"/>
  <c r="AE23" i="2" s="1"/>
  <c r="N23" i="2"/>
  <c r="M23" i="2"/>
  <c r="Q23" i="2" s="1"/>
  <c r="L23" i="2"/>
  <c r="P23" i="2" s="1"/>
  <c r="K23" i="2"/>
  <c r="E23" i="5" s="1"/>
  <c r="J23" i="2"/>
  <c r="I23" i="2"/>
  <c r="H23" i="2"/>
  <c r="G23" i="2"/>
  <c r="F23" i="2"/>
  <c r="Y23" i="2" s="1"/>
  <c r="E23" i="2"/>
  <c r="D23" i="2"/>
  <c r="C23" i="2"/>
  <c r="B23" i="2"/>
  <c r="A23" i="2"/>
  <c r="AA22" i="2"/>
  <c r="Z22" i="2"/>
  <c r="T22" i="2"/>
  <c r="G22" i="3" s="1"/>
  <c r="O22" i="2"/>
  <c r="AE22" i="2" s="1"/>
  <c r="N22" i="2"/>
  <c r="M22" i="2"/>
  <c r="Q22" i="2" s="1"/>
  <c r="L22" i="2"/>
  <c r="AD22" i="2" s="1"/>
  <c r="K22" i="2"/>
  <c r="E22" i="5" s="1"/>
  <c r="I22" i="2"/>
  <c r="H22" i="2"/>
  <c r="J22" i="2" s="1"/>
  <c r="G22" i="2"/>
  <c r="F22" i="2"/>
  <c r="E22" i="2"/>
  <c r="D22" i="2"/>
  <c r="C22" i="2"/>
  <c r="B22" i="2"/>
  <c r="A22" i="2"/>
  <c r="AD21" i="2"/>
  <c r="AA21" i="2"/>
  <c r="Z21" i="2"/>
  <c r="T21" i="2"/>
  <c r="G21" i="3" s="1"/>
  <c r="O21" i="2"/>
  <c r="AE21" i="2" s="1"/>
  <c r="N21" i="2"/>
  <c r="M21" i="2"/>
  <c r="Q21" i="2" s="1"/>
  <c r="L21" i="2"/>
  <c r="P21" i="2" s="1"/>
  <c r="K21" i="2"/>
  <c r="E21" i="5" s="1"/>
  <c r="J21" i="2"/>
  <c r="I21" i="2"/>
  <c r="H21" i="2"/>
  <c r="G21" i="2"/>
  <c r="F21" i="2"/>
  <c r="Y21" i="2" s="1"/>
  <c r="E21" i="2"/>
  <c r="D21" i="2"/>
  <c r="C21" i="2"/>
  <c r="B21" i="2"/>
  <c r="A21" i="2"/>
  <c r="AA20" i="2"/>
  <c r="Z20" i="2"/>
  <c r="T20" i="2"/>
  <c r="G20" i="3" s="1"/>
  <c r="O20" i="2"/>
  <c r="AE20" i="2" s="1"/>
  <c r="N20" i="2"/>
  <c r="M20" i="2"/>
  <c r="Q20" i="2" s="1"/>
  <c r="L20" i="2"/>
  <c r="AD20" i="2" s="1"/>
  <c r="K20" i="2"/>
  <c r="E20" i="5" s="1"/>
  <c r="I20" i="2"/>
  <c r="H20" i="2"/>
  <c r="J20" i="2" s="1"/>
  <c r="G20" i="2"/>
  <c r="F20" i="2"/>
  <c r="E20" i="2"/>
  <c r="D20" i="2"/>
  <c r="C20" i="2"/>
  <c r="B20" i="2"/>
  <c r="A20" i="2"/>
  <c r="AD19" i="2"/>
  <c r="AA19" i="2"/>
  <c r="Z19" i="2"/>
  <c r="O19" i="2"/>
  <c r="AE19" i="2" s="1"/>
  <c r="N19" i="2"/>
  <c r="M19" i="2"/>
  <c r="Q19" i="2" s="1"/>
  <c r="L19" i="2"/>
  <c r="P19" i="2" s="1"/>
  <c r="K19" i="2"/>
  <c r="E19" i="5" s="1"/>
  <c r="J19" i="2"/>
  <c r="I19" i="2"/>
  <c r="H19" i="2"/>
  <c r="G19" i="2"/>
  <c r="F19" i="2"/>
  <c r="Y19" i="2" s="1"/>
  <c r="E19" i="2"/>
  <c r="D19" i="2"/>
  <c r="C19" i="2"/>
  <c r="B19" i="2"/>
  <c r="A19" i="2"/>
  <c r="AA18" i="2"/>
  <c r="Z18" i="2"/>
  <c r="T18" i="2"/>
  <c r="G18" i="3" s="1"/>
  <c r="O18" i="2"/>
  <c r="AE18" i="2" s="1"/>
  <c r="N18" i="2"/>
  <c r="M18" i="2"/>
  <c r="AD18" i="2" s="1"/>
  <c r="L18" i="2"/>
  <c r="P18" i="2" s="1"/>
  <c r="K18" i="2"/>
  <c r="E18" i="5" s="1"/>
  <c r="I18" i="2"/>
  <c r="H18" i="2"/>
  <c r="J18" i="2" s="1"/>
  <c r="G18" i="2"/>
  <c r="F18" i="2"/>
  <c r="E18" i="2"/>
  <c r="D18" i="2"/>
  <c r="Y18" i="2" s="1"/>
  <c r="C18" i="2"/>
  <c r="B18" i="2"/>
  <c r="A18" i="2"/>
  <c r="AD17" i="2"/>
  <c r="AA17" i="2"/>
  <c r="Z17" i="2"/>
  <c r="O17" i="2"/>
  <c r="AE17" i="2" s="1"/>
  <c r="N17" i="2"/>
  <c r="M17" i="2"/>
  <c r="Q17" i="2" s="1"/>
  <c r="L17" i="2"/>
  <c r="P17" i="2" s="1"/>
  <c r="K17" i="2"/>
  <c r="E17" i="5" s="1"/>
  <c r="J17" i="2"/>
  <c r="I17" i="2"/>
  <c r="H17" i="2"/>
  <c r="G17" i="2"/>
  <c r="F17" i="2"/>
  <c r="Y17" i="2" s="1"/>
  <c r="E17" i="2"/>
  <c r="D17" i="2"/>
  <c r="C17" i="2"/>
  <c r="B17" i="2"/>
  <c r="A17" i="2"/>
  <c r="AA16" i="2"/>
  <c r="Z16" i="2"/>
  <c r="T16" i="2"/>
  <c r="G16" i="3" s="1"/>
  <c r="O16" i="2"/>
  <c r="AE16" i="2" s="1"/>
  <c r="N16" i="2"/>
  <c r="M16" i="2"/>
  <c r="AD16" i="2" s="1"/>
  <c r="L16" i="2"/>
  <c r="P16" i="2" s="1"/>
  <c r="K16" i="2"/>
  <c r="E16" i="5" s="1"/>
  <c r="I16" i="2"/>
  <c r="H16" i="2"/>
  <c r="J16" i="2" s="1"/>
  <c r="G16" i="2"/>
  <c r="F16" i="2"/>
  <c r="E16" i="2"/>
  <c r="D16" i="2"/>
  <c r="C16" i="2"/>
  <c r="B16" i="2"/>
  <c r="A16" i="2"/>
  <c r="AD15" i="2"/>
  <c r="AA15" i="2"/>
  <c r="Z15" i="2"/>
  <c r="O15" i="2"/>
  <c r="AE15" i="2" s="1"/>
  <c r="N15" i="2"/>
  <c r="M15" i="2"/>
  <c r="Q15" i="2" s="1"/>
  <c r="L15" i="2"/>
  <c r="P15" i="2" s="1"/>
  <c r="K15" i="2"/>
  <c r="E15" i="5" s="1"/>
  <c r="J15" i="2"/>
  <c r="I15" i="2"/>
  <c r="H15" i="2"/>
  <c r="G15" i="2"/>
  <c r="F15" i="2"/>
  <c r="Y15" i="2" s="1"/>
  <c r="E15" i="2"/>
  <c r="D15" i="2"/>
  <c r="C15" i="2"/>
  <c r="B15" i="2"/>
  <c r="A15" i="2"/>
  <c r="AA14" i="2"/>
  <c r="Z14" i="2"/>
  <c r="O14" i="2"/>
  <c r="AE14" i="2" s="1"/>
  <c r="N14" i="2"/>
  <c r="M14" i="2"/>
  <c r="AD14" i="2" s="1"/>
  <c r="L14" i="2"/>
  <c r="P14" i="2" s="1"/>
  <c r="K14" i="2"/>
  <c r="E14" i="5" s="1"/>
  <c r="I14" i="2"/>
  <c r="H14" i="2"/>
  <c r="J14" i="2" s="1"/>
  <c r="G14" i="2"/>
  <c r="F14" i="2"/>
  <c r="E14" i="2"/>
  <c r="D14" i="2"/>
  <c r="Y14" i="2" s="1"/>
  <c r="C14" i="2"/>
  <c r="B14" i="2"/>
  <c r="A14" i="2"/>
  <c r="AA13" i="2"/>
  <c r="Z13" i="2"/>
  <c r="Y13" i="2"/>
  <c r="D13" i="4" s="1"/>
  <c r="O13" i="2"/>
  <c r="AE13" i="2" s="1"/>
  <c r="N13" i="2"/>
  <c r="M13" i="2"/>
  <c r="Q13" i="2" s="1"/>
  <c r="L13" i="2"/>
  <c r="P13" i="2" s="1"/>
  <c r="K13" i="2"/>
  <c r="E13" i="5" s="1"/>
  <c r="I13" i="2"/>
  <c r="J13" i="2" s="1"/>
  <c r="H13" i="2"/>
  <c r="G13" i="2"/>
  <c r="F13" i="2"/>
  <c r="E13" i="2"/>
  <c r="D13" i="2"/>
  <c r="C13" i="2"/>
  <c r="B13" i="2"/>
  <c r="A13" i="2"/>
  <c r="AE12" i="2"/>
  <c r="AA12" i="2"/>
  <c r="Z12" i="2"/>
  <c r="O12" i="2"/>
  <c r="N12" i="2"/>
  <c r="M12" i="2"/>
  <c r="AD12" i="2" s="1"/>
  <c r="L12" i="2"/>
  <c r="P12" i="2" s="1"/>
  <c r="K12" i="2"/>
  <c r="E12" i="5" s="1"/>
  <c r="I12" i="2"/>
  <c r="H12" i="2"/>
  <c r="J12" i="2" s="1"/>
  <c r="G12" i="2"/>
  <c r="F12" i="2"/>
  <c r="E12" i="2"/>
  <c r="D12" i="2"/>
  <c r="Y12" i="2" s="1"/>
  <c r="C12" i="2"/>
  <c r="T12" i="2" s="1"/>
  <c r="G12" i="3" s="1"/>
  <c r="B12" i="2"/>
  <c r="A12" i="2"/>
  <c r="AA11" i="2"/>
  <c r="Z11" i="2"/>
  <c r="Y11" i="2"/>
  <c r="D11" i="4" s="1"/>
  <c r="O11" i="2"/>
  <c r="AE11" i="2" s="1"/>
  <c r="N11" i="2"/>
  <c r="M11" i="2"/>
  <c r="AD11" i="2" s="1"/>
  <c r="L11" i="2"/>
  <c r="P11" i="2" s="1"/>
  <c r="K11" i="2"/>
  <c r="E11" i="5" s="1"/>
  <c r="I11" i="2"/>
  <c r="J11" i="2" s="1"/>
  <c r="H11" i="2"/>
  <c r="G11" i="2"/>
  <c r="F11" i="2"/>
  <c r="E11" i="2"/>
  <c r="D11" i="2"/>
  <c r="C11" i="2"/>
  <c r="B11" i="2"/>
  <c r="A11" i="2"/>
  <c r="AA10" i="2"/>
  <c r="Z10" i="2"/>
  <c r="O10" i="2"/>
  <c r="AE10" i="2" s="1"/>
  <c r="N10" i="2"/>
  <c r="M10" i="2"/>
  <c r="AD10" i="2" s="1"/>
  <c r="L10" i="2"/>
  <c r="P10" i="2" s="1"/>
  <c r="K10" i="2"/>
  <c r="E10" i="5" s="1"/>
  <c r="I10" i="2"/>
  <c r="H10" i="2"/>
  <c r="J10" i="2" s="1"/>
  <c r="G10" i="2"/>
  <c r="F10" i="2"/>
  <c r="E10" i="2"/>
  <c r="D10" i="2"/>
  <c r="Y10" i="2" s="1"/>
  <c r="C10" i="2"/>
  <c r="T10" i="2" s="1"/>
  <c r="G10" i="3" s="1"/>
  <c r="B10" i="2"/>
  <c r="A10" i="2"/>
  <c r="AA9" i="2"/>
  <c r="Z9" i="2"/>
  <c r="Y9" i="2"/>
  <c r="D9" i="4" s="1"/>
  <c r="O9" i="2"/>
  <c r="AE9" i="2" s="1"/>
  <c r="N9" i="2"/>
  <c r="M9" i="2"/>
  <c r="AD9" i="2" s="1"/>
  <c r="L9" i="2"/>
  <c r="P9" i="2" s="1"/>
  <c r="K9" i="2"/>
  <c r="E9" i="5" s="1"/>
  <c r="I9" i="2"/>
  <c r="J9" i="2" s="1"/>
  <c r="H9" i="2"/>
  <c r="G9" i="2"/>
  <c r="F9" i="2"/>
  <c r="E9" i="2"/>
  <c r="D9" i="2"/>
  <c r="C9" i="2"/>
  <c r="B9" i="2"/>
  <c r="A9" i="2"/>
  <c r="AA8" i="2"/>
  <c r="Z8" i="2"/>
  <c r="O8" i="2"/>
  <c r="AE8" i="2" s="1"/>
  <c r="N8" i="2"/>
  <c r="M8" i="2"/>
  <c r="AD8" i="2" s="1"/>
  <c r="L8" i="2"/>
  <c r="P8" i="2" s="1"/>
  <c r="K8" i="2"/>
  <c r="E8" i="5" s="1"/>
  <c r="I8" i="2"/>
  <c r="H8" i="2"/>
  <c r="J8" i="2" s="1"/>
  <c r="G8" i="2"/>
  <c r="F8" i="2"/>
  <c r="E8" i="2"/>
  <c r="D8" i="2"/>
  <c r="Y8" i="2" s="1"/>
  <c r="C8" i="2"/>
  <c r="B8" i="2"/>
  <c r="A8" i="2"/>
  <c r="AA7" i="2"/>
  <c r="Z7" i="2"/>
  <c r="Y7" i="2"/>
  <c r="D7" i="4" s="1"/>
  <c r="O7" i="2"/>
  <c r="AE7" i="2" s="1"/>
  <c r="N7" i="2"/>
  <c r="M7" i="2"/>
  <c r="AD7" i="2" s="1"/>
  <c r="L7" i="2"/>
  <c r="P7" i="2" s="1"/>
  <c r="K7" i="2"/>
  <c r="E7" i="5" s="1"/>
  <c r="I7" i="2"/>
  <c r="J7" i="2" s="1"/>
  <c r="H7" i="2"/>
  <c r="G7" i="2"/>
  <c r="F7" i="2"/>
  <c r="E7" i="2"/>
  <c r="D7" i="2"/>
  <c r="C7" i="2"/>
  <c r="B7" i="2"/>
  <c r="A7" i="2"/>
  <c r="AA6" i="2"/>
  <c r="Z6" i="2"/>
  <c r="O6" i="2"/>
  <c r="AE6" i="2" s="1"/>
  <c r="N6" i="2"/>
  <c r="M6" i="2"/>
  <c r="AD6" i="2" s="1"/>
  <c r="L6" i="2"/>
  <c r="P6" i="2" s="1"/>
  <c r="K6" i="2"/>
  <c r="E6" i="5" s="1"/>
  <c r="I6" i="2"/>
  <c r="H6" i="2"/>
  <c r="J6" i="2" s="1"/>
  <c r="G6" i="2"/>
  <c r="F6" i="2"/>
  <c r="E6" i="2"/>
  <c r="D6" i="2"/>
  <c r="Y6" i="2" s="1"/>
  <c r="C6" i="2"/>
  <c r="T6" i="2" s="1"/>
  <c r="G6" i="3" s="1"/>
  <c r="B6" i="2"/>
  <c r="A6" i="2"/>
  <c r="AA5" i="2"/>
  <c r="Z5" i="2"/>
  <c r="Y5" i="2"/>
  <c r="D5" i="4" s="1"/>
  <c r="O5" i="2"/>
  <c r="AE5" i="2" s="1"/>
  <c r="N5" i="2"/>
  <c r="M5" i="2"/>
  <c r="Q5" i="2" s="1"/>
  <c r="L5" i="2"/>
  <c r="P5" i="2" s="1"/>
  <c r="K5" i="2"/>
  <c r="I5" i="2"/>
  <c r="J5" i="2" s="1"/>
  <c r="H5" i="2"/>
  <c r="G5" i="2"/>
  <c r="F5" i="2"/>
  <c r="E5" i="2"/>
  <c r="D5" i="2"/>
  <c r="C5" i="2"/>
  <c r="B5" i="2"/>
  <c r="A5" i="2"/>
  <c r="A77" i="10" l="1"/>
  <c r="G7" i="7"/>
  <c r="F7" i="5"/>
  <c r="G7" i="5" s="1"/>
  <c r="H7" i="5" s="1"/>
  <c r="I7" i="5" s="1"/>
  <c r="C7" i="4"/>
  <c r="E7" i="4" s="1"/>
  <c r="E7" i="3"/>
  <c r="AF7" i="2"/>
  <c r="D8" i="4"/>
  <c r="A78" i="10"/>
  <c r="F8" i="5"/>
  <c r="G8" i="5" s="1"/>
  <c r="H8" i="5" s="1"/>
  <c r="I8" i="5" s="1"/>
  <c r="G8" i="7"/>
  <c r="C8" i="4"/>
  <c r="E8" i="4" s="1"/>
  <c r="E8" i="3"/>
  <c r="AF8" i="2"/>
  <c r="A83" i="10"/>
  <c r="G13" i="7"/>
  <c r="F13" i="5"/>
  <c r="G13" i="5" s="1"/>
  <c r="H13" i="5" s="1"/>
  <c r="I13" i="5" s="1"/>
  <c r="C13" i="4"/>
  <c r="E13" i="4" s="1"/>
  <c r="E13" i="3"/>
  <c r="AF13" i="2"/>
  <c r="V13" i="2"/>
  <c r="M13" i="4" s="1"/>
  <c r="D14" i="4"/>
  <c r="A84" i="10"/>
  <c r="G14" i="7"/>
  <c r="F14" i="5"/>
  <c r="G14" i="5" s="1"/>
  <c r="H14" i="5" s="1"/>
  <c r="I14" i="5" s="1"/>
  <c r="C14" i="4"/>
  <c r="E14" i="4" s="1"/>
  <c r="E14" i="3"/>
  <c r="AF14" i="2"/>
  <c r="B87" i="10"/>
  <c r="F17" i="7"/>
  <c r="J17" i="4"/>
  <c r="F17" i="4"/>
  <c r="I17" i="4"/>
  <c r="H17" i="4"/>
  <c r="G17" i="4"/>
  <c r="R17" i="2"/>
  <c r="S17" i="2" s="1"/>
  <c r="D19" i="4"/>
  <c r="W19" i="2"/>
  <c r="F20" i="5"/>
  <c r="G20" i="5" s="1"/>
  <c r="H20" i="5" s="1"/>
  <c r="I20" i="5" s="1"/>
  <c r="A90" i="10"/>
  <c r="C20" i="4"/>
  <c r="E20" i="4" s="1"/>
  <c r="G20" i="7"/>
  <c r="E20" i="3"/>
  <c r="V20" i="2"/>
  <c r="M20" i="4" s="1"/>
  <c r="AF20" i="2"/>
  <c r="B90" i="10"/>
  <c r="F20" i="7"/>
  <c r="H20" i="4"/>
  <c r="G20" i="4"/>
  <c r="F20" i="4"/>
  <c r="J20" i="4"/>
  <c r="I20" i="4"/>
  <c r="R20" i="2"/>
  <c r="S20" i="2" s="1"/>
  <c r="F22" i="5"/>
  <c r="G22" i="5" s="1"/>
  <c r="H22" i="5" s="1"/>
  <c r="I22" i="5" s="1"/>
  <c r="G22" i="7"/>
  <c r="C22" i="4"/>
  <c r="E22" i="4" s="1"/>
  <c r="E22" i="3"/>
  <c r="V22" i="2"/>
  <c r="M22" i="4" s="1"/>
  <c r="AF22" i="2"/>
  <c r="F22" i="7"/>
  <c r="J22" i="4"/>
  <c r="F22" i="4"/>
  <c r="I22" i="4"/>
  <c r="H22" i="4"/>
  <c r="G22" i="4"/>
  <c r="R22" i="2"/>
  <c r="S22" i="2" s="1"/>
  <c r="F24" i="5"/>
  <c r="G24" i="5" s="1"/>
  <c r="H24" i="5" s="1"/>
  <c r="I24" i="5" s="1"/>
  <c r="G24" i="7"/>
  <c r="C24" i="4"/>
  <c r="E24" i="4" s="1"/>
  <c r="E24" i="3"/>
  <c r="V24" i="2"/>
  <c r="M24" i="4" s="1"/>
  <c r="AF24" i="2"/>
  <c r="F24" i="7"/>
  <c r="H24" i="4"/>
  <c r="G24" i="4"/>
  <c r="J24" i="4"/>
  <c r="I24" i="4"/>
  <c r="F24" i="4"/>
  <c r="R24" i="2"/>
  <c r="S24" i="2" s="1"/>
  <c r="F27" i="7"/>
  <c r="I27" i="4"/>
  <c r="H27" i="4"/>
  <c r="J27" i="4"/>
  <c r="G27" i="4"/>
  <c r="F27" i="4"/>
  <c r="R27" i="2"/>
  <c r="S27" i="2" s="1"/>
  <c r="D10" i="4"/>
  <c r="B85" i="10"/>
  <c r="H15" i="4"/>
  <c r="I15" i="4"/>
  <c r="G15" i="4"/>
  <c r="F15" i="4"/>
  <c r="F15" i="7"/>
  <c r="J15" i="4"/>
  <c r="R15" i="2"/>
  <c r="S15" i="2" s="1"/>
  <c r="D17" i="4"/>
  <c r="W17" i="2"/>
  <c r="D18" i="4"/>
  <c r="A88" i="10"/>
  <c r="G18" i="7"/>
  <c r="F18" i="5"/>
  <c r="G18" i="5" s="1"/>
  <c r="H18" i="5" s="1"/>
  <c r="I18" i="5" s="1"/>
  <c r="E18" i="3"/>
  <c r="C18" i="4"/>
  <c r="E18" i="4" s="1"/>
  <c r="AF18" i="2"/>
  <c r="D25" i="4"/>
  <c r="W25" i="2"/>
  <c r="V27" i="2"/>
  <c r="M27" i="4" s="1"/>
  <c r="E35" i="7"/>
  <c r="F35" i="3"/>
  <c r="N60" i="10"/>
  <c r="E43" i="7"/>
  <c r="F43" i="3"/>
  <c r="A81" i="10"/>
  <c r="G11" i="7"/>
  <c r="F11" i="5"/>
  <c r="G11" i="5" s="1"/>
  <c r="H11" i="5" s="1"/>
  <c r="I11" i="5" s="1"/>
  <c r="C11" i="4"/>
  <c r="E11" i="4" s="1"/>
  <c r="E11" i="3"/>
  <c r="AF11" i="2"/>
  <c r="D12" i="4"/>
  <c r="F12" i="5"/>
  <c r="G12" i="5" s="1"/>
  <c r="H12" i="5" s="1"/>
  <c r="I12" i="5" s="1"/>
  <c r="A82" i="10"/>
  <c r="G12" i="7"/>
  <c r="C12" i="4"/>
  <c r="E12" i="4" s="1"/>
  <c r="E12" i="3"/>
  <c r="AF12" i="2"/>
  <c r="D15" i="4"/>
  <c r="W15" i="2"/>
  <c r="A86" i="10"/>
  <c r="F16" i="5"/>
  <c r="G16" i="5" s="1"/>
  <c r="H16" i="5" s="1"/>
  <c r="I16" i="5" s="1"/>
  <c r="G16" i="7"/>
  <c r="C16" i="4"/>
  <c r="E16" i="4" s="1"/>
  <c r="E16" i="3"/>
  <c r="AF16" i="2"/>
  <c r="F21" i="7"/>
  <c r="G21" i="4"/>
  <c r="J21" i="4"/>
  <c r="F21" i="4"/>
  <c r="I21" i="4"/>
  <c r="H21" i="4"/>
  <c r="R21" i="2"/>
  <c r="S21" i="2" s="1"/>
  <c r="F23" i="7"/>
  <c r="I23" i="4"/>
  <c r="H23" i="4"/>
  <c r="G23" i="4"/>
  <c r="F23" i="4"/>
  <c r="J23" i="4"/>
  <c r="R23" i="2"/>
  <c r="S23" i="2" s="1"/>
  <c r="F25" i="7"/>
  <c r="G25" i="4"/>
  <c r="J25" i="4"/>
  <c r="F25" i="4"/>
  <c r="I25" i="4"/>
  <c r="H25" i="4"/>
  <c r="R25" i="2"/>
  <c r="S25" i="2" s="1"/>
  <c r="D26" i="4"/>
  <c r="D27" i="4"/>
  <c r="W27" i="2"/>
  <c r="D44" i="4"/>
  <c r="A79" i="10"/>
  <c r="G9" i="7"/>
  <c r="F9" i="5"/>
  <c r="G9" i="5" s="1"/>
  <c r="H9" i="5" s="1"/>
  <c r="I9" i="5" s="1"/>
  <c r="E9" i="3"/>
  <c r="C9" i="4"/>
  <c r="E9" i="4" s="1"/>
  <c r="AF9" i="2"/>
  <c r="A80" i="10"/>
  <c r="G10" i="7"/>
  <c r="F10" i="5"/>
  <c r="G10" i="5" s="1"/>
  <c r="H10" i="5" s="1"/>
  <c r="I10" i="5" s="1"/>
  <c r="C10" i="4"/>
  <c r="E10" i="4" s="1"/>
  <c r="E10" i="3"/>
  <c r="AF10" i="2"/>
  <c r="B75" i="10"/>
  <c r="F5" i="7"/>
  <c r="J5" i="4"/>
  <c r="F5" i="4"/>
  <c r="I5" i="4"/>
  <c r="H5" i="4"/>
  <c r="G5" i="4"/>
  <c r="R5" i="2"/>
  <c r="A75" i="10"/>
  <c r="G5" i="7"/>
  <c r="F5" i="5"/>
  <c r="E5" i="3"/>
  <c r="C5" i="4"/>
  <c r="E5" i="4" s="1"/>
  <c r="L5" i="4" s="1"/>
  <c r="AF5" i="2"/>
  <c r="V5" i="2"/>
  <c r="D6" i="4"/>
  <c r="A76" i="10"/>
  <c r="G6" i="7"/>
  <c r="F6" i="5"/>
  <c r="G6" i="5" s="1"/>
  <c r="H6" i="5" s="1"/>
  <c r="I6" i="5" s="1"/>
  <c r="C6" i="4"/>
  <c r="E6" i="4" s="1"/>
  <c r="E6" i="3"/>
  <c r="AF6" i="2"/>
  <c r="B83" i="10"/>
  <c r="J13" i="4"/>
  <c r="F13" i="4"/>
  <c r="F13" i="7"/>
  <c r="H13" i="4"/>
  <c r="G13" i="4"/>
  <c r="I13" i="4"/>
  <c r="R13" i="2"/>
  <c r="S13" i="2" s="1"/>
  <c r="B89" i="10"/>
  <c r="F19" i="7"/>
  <c r="I19" i="4"/>
  <c r="H19" i="4"/>
  <c r="J19" i="4"/>
  <c r="G19" i="4"/>
  <c r="F19" i="4"/>
  <c r="R19" i="2"/>
  <c r="S19" i="2" s="1"/>
  <c r="D21" i="4"/>
  <c r="W21" i="2"/>
  <c r="D23" i="4"/>
  <c r="W23" i="2"/>
  <c r="E31" i="7"/>
  <c r="F31" i="3"/>
  <c r="N56" i="10"/>
  <c r="E39" i="7"/>
  <c r="F39" i="3"/>
  <c r="K5" i="4"/>
  <c r="A7" i="7"/>
  <c r="A7" i="5"/>
  <c r="A7" i="4"/>
  <c r="A7" i="3"/>
  <c r="C8" i="5"/>
  <c r="C8" i="3"/>
  <c r="Q11" i="2"/>
  <c r="V11" i="2" s="1"/>
  <c r="H75" i="10"/>
  <c r="B5" i="7"/>
  <c r="B5" i="4"/>
  <c r="B5" i="5"/>
  <c r="B5" i="3"/>
  <c r="D16" i="5"/>
  <c r="D16" i="3"/>
  <c r="A87" i="10"/>
  <c r="G17" i="7"/>
  <c r="F17" i="5"/>
  <c r="G17" i="5" s="1"/>
  <c r="H17" i="5" s="1"/>
  <c r="I17" i="5" s="1"/>
  <c r="E17" i="3"/>
  <c r="C17" i="4"/>
  <c r="E17" i="4" s="1"/>
  <c r="L17" i="4" s="1"/>
  <c r="D20" i="5"/>
  <c r="D20" i="3"/>
  <c r="P20" i="2"/>
  <c r="G21" i="7"/>
  <c r="C21" i="4"/>
  <c r="E21" i="4" s="1"/>
  <c r="L21" i="4" s="1"/>
  <c r="E21" i="3"/>
  <c r="F21" i="5"/>
  <c r="G21" i="5" s="1"/>
  <c r="H21" i="5" s="1"/>
  <c r="I21" i="5" s="1"/>
  <c r="D22" i="5"/>
  <c r="D22" i="3"/>
  <c r="D24" i="5"/>
  <c r="D24" i="3"/>
  <c r="P24" i="2"/>
  <c r="H95" i="10"/>
  <c r="B25" i="7"/>
  <c r="B25" i="5"/>
  <c r="B25" i="4"/>
  <c r="B25" i="3"/>
  <c r="G25" i="7"/>
  <c r="C25" i="4"/>
  <c r="E25" i="4" s="1"/>
  <c r="L25" i="4" s="1"/>
  <c r="F25" i="5"/>
  <c r="G25" i="5" s="1"/>
  <c r="H25" i="5" s="1"/>
  <c r="I25" i="5" s="1"/>
  <c r="E25" i="3"/>
  <c r="AF25" i="2"/>
  <c r="B17" i="10"/>
  <c r="B13" i="10"/>
  <c r="E82" i="10"/>
  <c r="D24" i="6"/>
  <c r="D23" i="6"/>
  <c r="D22" i="6"/>
  <c r="D21" i="6"/>
  <c r="D20" i="6"/>
  <c r="D19" i="6"/>
  <c r="D18" i="6"/>
  <c r="D17" i="6"/>
  <c r="B16" i="10"/>
  <c r="B11" i="10"/>
  <c r="B15" i="10"/>
  <c r="C23" i="6"/>
  <c r="E23" i="6" s="1"/>
  <c r="F23" i="6" s="1"/>
  <c r="C21" i="6"/>
  <c r="C19" i="6"/>
  <c r="C17" i="6"/>
  <c r="E17" i="6" s="1"/>
  <c r="F17" i="6" s="1"/>
  <c r="B22" i="6"/>
  <c r="B21" i="6"/>
  <c r="C20" i="6"/>
  <c r="B19" i="6"/>
  <c r="C18" i="6"/>
  <c r="B23" i="6"/>
  <c r="C24" i="6"/>
  <c r="B17" i="6"/>
  <c r="C5" i="5"/>
  <c r="C22" i="6"/>
  <c r="E22" i="6" s="1"/>
  <c r="F22" i="6" s="1"/>
  <c r="C5" i="3"/>
  <c r="I22" i="10"/>
  <c r="E5" i="5"/>
  <c r="W5" i="2"/>
  <c r="C24" i="10"/>
  <c r="C23" i="10"/>
  <c r="B18" i="9"/>
  <c r="C22" i="10"/>
  <c r="M22" i="10"/>
  <c r="C5" i="7"/>
  <c r="D5" i="7" s="1"/>
  <c r="A6" i="5"/>
  <c r="A6" i="4"/>
  <c r="A6" i="7"/>
  <c r="A6" i="3"/>
  <c r="Q6" i="2"/>
  <c r="V6" i="2" s="1"/>
  <c r="C7" i="5"/>
  <c r="C7" i="3"/>
  <c r="M24" i="10"/>
  <c r="C7" i="7"/>
  <c r="D7" i="7" s="1"/>
  <c r="A8" i="7"/>
  <c r="A8" i="5"/>
  <c r="A8" i="4"/>
  <c r="A8" i="3"/>
  <c r="Q8" i="2"/>
  <c r="C9" i="5"/>
  <c r="C9" i="3"/>
  <c r="W9" i="2"/>
  <c r="C9" i="7"/>
  <c r="D9" i="7" s="1"/>
  <c r="M26" i="10"/>
  <c r="A10" i="7"/>
  <c r="A10" i="4"/>
  <c r="A10" i="5"/>
  <c r="A10" i="3"/>
  <c r="Q10" i="2"/>
  <c r="W10" i="2" s="1"/>
  <c r="C11" i="5"/>
  <c r="C11" i="3"/>
  <c r="W11" i="2"/>
  <c r="M28" i="10"/>
  <c r="C11" i="7"/>
  <c r="D11" i="7" s="1"/>
  <c r="A12" i="5"/>
  <c r="A12" i="7"/>
  <c r="A12" i="4"/>
  <c r="A12" i="3"/>
  <c r="Q12" i="2"/>
  <c r="C13" i="5"/>
  <c r="C13" i="3"/>
  <c r="W13" i="2"/>
  <c r="M30" i="10"/>
  <c r="C13" i="7"/>
  <c r="D13" i="7" s="1"/>
  <c r="A14" i="7"/>
  <c r="A14" i="5"/>
  <c r="A14" i="4"/>
  <c r="A14" i="3"/>
  <c r="Q14" i="2"/>
  <c r="V14" i="2" s="1"/>
  <c r="M14" i="4" s="1"/>
  <c r="C15" i="5"/>
  <c r="C15" i="3"/>
  <c r="M32" i="10"/>
  <c r="C15" i="7"/>
  <c r="D15" i="7" s="1"/>
  <c r="A16" i="5"/>
  <c r="A16" i="4"/>
  <c r="A16" i="7"/>
  <c r="A16" i="3"/>
  <c r="Q16" i="2"/>
  <c r="Y16" i="2"/>
  <c r="C17" i="5"/>
  <c r="C17" i="3"/>
  <c r="M34" i="10"/>
  <c r="C17" i="7"/>
  <c r="D17" i="7" s="1"/>
  <c r="A18" i="7"/>
  <c r="A18" i="5"/>
  <c r="A18" i="4"/>
  <c r="A18" i="3"/>
  <c r="Q18" i="2"/>
  <c r="V18" i="2" s="1"/>
  <c r="M18" i="4" s="1"/>
  <c r="C19" i="5"/>
  <c r="C19" i="3"/>
  <c r="M36" i="10"/>
  <c r="C19" i="7"/>
  <c r="D19" i="7" s="1"/>
  <c r="A20" i="7"/>
  <c r="A20" i="5"/>
  <c r="A20" i="4"/>
  <c r="A20" i="3"/>
  <c r="Y20" i="2"/>
  <c r="C21" i="5"/>
  <c r="C21" i="3"/>
  <c r="C21" i="7"/>
  <c r="D21" i="7" s="1"/>
  <c r="M38" i="10"/>
  <c r="A22" i="7"/>
  <c r="A22" i="5"/>
  <c r="A22" i="4"/>
  <c r="A22" i="3"/>
  <c r="Y22" i="2"/>
  <c r="C23" i="5"/>
  <c r="C23" i="3"/>
  <c r="M40" i="10"/>
  <c r="C23" i="7"/>
  <c r="D23" i="7" s="1"/>
  <c r="A24" i="7"/>
  <c r="A24" i="5"/>
  <c r="A24" i="4"/>
  <c r="A24" i="3"/>
  <c r="Y24" i="2"/>
  <c r="C25" i="5"/>
  <c r="C25" i="3"/>
  <c r="T25" i="2"/>
  <c r="G25" i="3" s="1"/>
  <c r="AD25" i="2"/>
  <c r="A26" i="7"/>
  <c r="A26" i="5"/>
  <c r="A26" i="4"/>
  <c r="A26" i="3"/>
  <c r="P27" i="2"/>
  <c r="M44" i="10"/>
  <c r="C27" i="7"/>
  <c r="D27" i="7" s="1"/>
  <c r="C28" i="5"/>
  <c r="C28" i="3"/>
  <c r="P29" i="2"/>
  <c r="D30" i="5"/>
  <c r="D30" i="3"/>
  <c r="J30" i="2"/>
  <c r="B12" i="10" s="1"/>
  <c r="AD30" i="2"/>
  <c r="Q30" i="2"/>
  <c r="Y30" i="2"/>
  <c r="H101" i="10"/>
  <c r="B31" i="7"/>
  <c r="B31" i="5"/>
  <c r="B31" i="4"/>
  <c r="B31" i="3"/>
  <c r="G31" i="7"/>
  <c r="F31" i="5"/>
  <c r="G31" i="5" s="1"/>
  <c r="H31" i="5" s="1"/>
  <c r="I31" i="5" s="1"/>
  <c r="C31" i="4"/>
  <c r="E31" i="4" s="1"/>
  <c r="E31" i="3"/>
  <c r="AF31" i="2"/>
  <c r="V31" i="2"/>
  <c r="M31" i="4" s="1"/>
  <c r="P33" i="2"/>
  <c r="D34" i="5"/>
  <c r="D34" i="3"/>
  <c r="A104" i="10"/>
  <c r="G34" i="7"/>
  <c r="F34" i="5"/>
  <c r="G34" i="5" s="1"/>
  <c r="H34" i="5" s="1"/>
  <c r="I34" i="5" s="1"/>
  <c r="E34" i="3"/>
  <c r="C34" i="4"/>
  <c r="E34" i="4" s="1"/>
  <c r="AD34" i="2"/>
  <c r="Q34" i="2"/>
  <c r="V34" i="2" s="1"/>
  <c r="M34" i="4" s="1"/>
  <c r="Y34" i="2"/>
  <c r="B35" i="7"/>
  <c r="B35" i="5"/>
  <c r="B35" i="4"/>
  <c r="B35" i="3"/>
  <c r="A105" i="10"/>
  <c r="G35" i="7"/>
  <c r="C35" i="4"/>
  <c r="E35" i="4" s="1"/>
  <c r="E35" i="3"/>
  <c r="F35" i="5"/>
  <c r="G35" i="5" s="1"/>
  <c r="H35" i="5" s="1"/>
  <c r="I35" i="5" s="1"/>
  <c r="AF35" i="2"/>
  <c r="V35" i="2"/>
  <c r="M35" i="4" s="1"/>
  <c r="P37" i="2"/>
  <c r="D38" i="5"/>
  <c r="D38" i="3"/>
  <c r="A108" i="10"/>
  <c r="F38" i="5"/>
  <c r="G38" i="5" s="1"/>
  <c r="H38" i="5" s="1"/>
  <c r="I38" i="5" s="1"/>
  <c r="G38" i="7"/>
  <c r="C38" i="4"/>
  <c r="E38" i="4" s="1"/>
  <c r="E38" i="3"/>
  <c r="V38" i="2"/>
  <c r="M38" i="4" s="1"/>
  <c r="AD38" i="2"/>
  <c r="Q38" i="2"/>
  <c r="Y38" i="2"/>
  <c r="H109" i="10"/>
  <c r="B39" i="7"/>
  <c r="B39" i="5"/>
  <c r="B39" i="3"/>
  <c r="B39" i="4"/>
  <c r="A109" i="10"/>
  <c r="F39" i="5"/>
  <c r="G39" i="5" s="1"/>
  <c r="H39" i="5" s="1"/>
  <c r="I39" i="5" s="1"/>
  <c r="G39" i="7"/>
  <c r="C39" i="4"/>
  <c r="E39" i="4" s="1"/>
  <c r="E39" i="3"/>
  <c r="AF39" i="2"/>
  <c r="V39" i="2"/>
  <c r="M39" i="4" s="1"/>
  <c r="P41" i="2"/>
  <c r="D42" i="5"/>
  <c r="D42" i="3"/>
  <c r="A112" i="10"/>
  <c r="G42" i="7"/>
  <c r="F42" i="5"/>
  <c r="G42" i="5" s="1"/>
  <c r="H42" i="5" s="1"/>
  <c r="I42" i="5" s="1"/>
  <c r="C42" i="4"/>
  <c r="E42" i="4" s="1"/>
  <c r="E42" i="3"/>
  <c r="V42" i="2"/>
  <c r="M42" i="4" s="1"/>
  <c r="AD42" i="2"/>
  <c r="Q42" i="2"/>
  <c r="Y42" i="2"/>
  <c r="H113" i="10"/>
  <c r="B43" i="7"/>
  <c r="B43" i="5"/>
  <c r="B43" i="4"/>
  <c r="B43" i="3"/>
  <c r="A113" i="10"/>
  <c r="G43" i="7"/>
  <c r="F43" i="5"/>
  <c r="G43" i="5" s="1"/>
  <c r="H43" i="5" s="1"/>
  <c r="I43" i="5" s="1"/>
  <c r="C43" i="4"/>
  <c r="E43" i="4" s="1"/>
  <c r="E43" i="3"/>
  <c r="AF43" i="2"/>
  <c r="V43" i="2"/>
  <c r="M43" i="4" s="1"/>
  <c r="C45" i="5"/>
  <c r="C45" i="3"/>
  <c r="T45" i="2"/>
  <c r="G45" i="3" s="1"/>
  <c r="D46" i="4"/>
  <c r="D132" i="4"/>
  <c r="W132" i="2"/>
  <c r="A202" i="10"/>
  <c r="G132" i="7"/>
  <c r="F132" i="5"/>
  <c r="G132" i="5" s="1"/>
  <c r="H132" i="5" s="1"/>
  <c r="I132" i="5" s="1"/>
  <c r="C132" i="4"/>
  <c r="E132" i="4" s="1"/>
  <c r="E132" i="3"/>
  <c r="AF132" i="2"/>
  <c r="V132" i="2"/>
  <c r="M132" i="4" s="1"/>
  <c r="B202" i="10"/>
  <c r="F132" i="7"/>
  <c r="H132" i="4"/>
  <c r="G132" i="4"/>
  <c r="F132" i="4"/>
  <c r="J132" i="4"/>
  <c r="I132" i="4"/>
  <c r="R132" i="2"/>
  <c r="S132" i="2" s="1"/>
  <c r="D140" i="4"/>
  <c r="W140" i="2"/>
  <c r="A210" i="10"/>
  <c r="G140" i="7"/>
  <c r="F140" i="5"/>
  <c r="G140" i="5" s="1"/>
  <c r="H140" i="5" s="1"/>
  <c r="I140" i="5" s="1"/>
  <c r="C140" i="4"/>
  <c r="E140" i="4" s="1"/>
  <c r="E140" i="3"/>
  <c r="AF140" i="2"/>
  <c r="V140" i="2"/>
  <c r="M140" i="4" s="1"/>
  <c r="B210" i="10"/>
  <c r="F140" i="7"/>
  <c r="H140" i="4"/>
  <c r="G140" i="4"/>
  <c r="F140" i="4"/>
  <c r="J140" i="4"/>
  <c r="I140" i="4"/>
  <c r="R140" i="2"/>
  <c r="S140" i="2" s="1"/>
  <c r="D148" i="4"/>
  <c r="W148" i="2"/>
  <c r="A218" i="10"/>
  <c r="G148" i="7"/>
  <c r="F148" i="5"/>
  <c r="G148" i="5" s="1"/>
  <c r="H148" i="5" s="1"/>
  <c r="I148" i="5" s="1"/>
  <c r="C148" i="4"/>
  <c r="E148" i="4" s="1"/>
  <c r="E148" i="3"/>
  <c r="AF148" i="2"/>
  <c r="V148" i="2"/>
  <c r="M148" i="4" s="1"/>
  <c r="B218" i="10"/>
  <c r="F148" i="7"/>
  <c r="H148" i="4"/>
  <c r="F148" i="4"/>
  <c r="J148" i="4"/>
  <c r="I148" i="4"/>
  <c r="G148" i="4"/>
  <c r="R148" i="2"/>
  <c r="S148" i="2" s="1"/>
  <c r="Q9" i="2"/>
  <c r="A11" i="7"/>
  <c r="A11" i="4"/>
  <c r="A11" i="5"/>
  <c r="A11" i="3"/>
  <c r="D6" i="5"/>
  <c r="I6" i="6"/>
  <c r="D6" i="3"/>
  <c r="I8" i="6"/>
  <c r="D8" i="5"/>
  <c r="D8" i="3"/>
  <c r="T8" i="2"/>
  <c r="G8" i="3" s="1"/>
  <c r="H79" i="10"/>
  <c r="B9" i="7"/>
  <c r="B9" i="5"/>
  <c r="B9" i="4"/>
  <c r="B9" i="3"/>
  <c r="H81" i="10"/>
  <c r="B11" i="7"/>
  <c r="B11" i="4"/>
  <c r="B11" i="5"/>
  <c r="B11" i="3"/>
  <c r="I12" i="6"/>
  <c r="D12" i="3"/>
  <c r="D12" i="5"/>
  <c r="H83" i="10"/>
  <c r="B13" i="5"/>
  <c r="B13" i="4"/>
  <c r="B13" i="7"/>
  <c r="B13" i="3"/>
  <c r="AD13" i="2"/>
  <c r="H85" i="10"/>
  <c r="B15" i="7"/>
  <c r="B15" i="4"/>
  <c r="B15" i="5"/>
  <c r="B15" i="3"/>
  <c r="A85" i="10"/>
  <c r="G15" i="7"/>
  <c r="F15" i="5"/>
  <c r="G15" i="5" s="1"/>
  <c r="H15" i="5" s="1"/>
  <c r="I15" i="5" s="1"/>
  <c r="C15" i="4"/>
  <c r="E15" i="4" s="1"/>
  <c r="L15" i="4" s="1"/>
  <c r="E15" i="3"/>
  <c r="H87" i="10"/>
  <c r="B17" i="5"/>
  <c r="B17" i="7"/>
  <c r="B17" i="4"/>
  <c r="B17" i="3"/>
  <c r="D18" i="5"/>
  <c r="D18" i="3"/>
  <c r="A89" i="10"/>
  <c r="G19" i="7"/>
  <c r="F19" i="5"/>
  <c r="G19" i="5" s="1"/>
  <c r="H19" i="5" s="1"/>
  <c r="I19" i="5" s="1"/>
  <c r="C19" i="4"/>
  <c r="E19" i="4" s="1"/>
  <c r="L19" i="4" s="1"/>
  <c r="E19" i="3"/>
  <c r="V19" i="2"/>
  <c r="M19" i="4" s="1"/>
  <c r="V21" i="2"/>
  <c r="M21" i="4" s="1"/>
  <c r="P22" i="2"/>
  <c r="G23" i="7"/>
  <c r="F23" i="5"/>
  <c r="G23" i="5" s="1"/>
  <c r="H23" i="5" s="1"/>
  <c r="I23" i="5" s="1"/>
  <c r="C23" i="4"/>
  <c r="E23" i="4" s="1"/>
  <c r="L23" i="4" s="1"/>
  <c r="E23" i="3"/>
  <c r="V23" i="2"/>
  <c r="M23" i="4" s="1"/>
  <c r="F26" i="5"/>
  <c r="G26" i="5" s="1"/>
  <c r="H26" i="5" s="1"/>
  <c r="I26" i="5" s="1"/>
  <c r="G26" i="7"/>
  <c r="C26" i="4"/>
  <c r="E26" i="4" s="1"/>
  <c r="E26" i="3"/>
  <c r="V26" i="2"/>
  <c r="M26" i="4" s="1"/>
  <c r="Q26" i="2"/>
  <c r="C27" i="5"/>
  <c r="C27" i="3"/>
  <c r="T27" i="2"/>
  <c r="G27" i="3" s="1"/>
  <c r="C29" i="5"/>
  <c r="C29" i="3"/>
  <c r="T29" i="2"/>
  <c r="G29" i="3" s="1"/>
  <c r="F15" i="10"/>
  <c r="F11" i="10"/>
  <c r="F14" i="10"/>
  <c r="F17" i="10"/>
  <c r="J11" i="6"/>
  <c r="B11" i="6"/>
  <c r="C10" i="6"/>
  <c r="D9" i="6"/>
  <c r="J7" i="6"/>
  <c r="B7" i="6"/>
  <c r="C6" i="6"/>
  <c r="D5" i="6"/>
  <c r="F13" i="10"/>
  <c r="D10" i="6"/>
  <c r="C11" i="6"/>
  <c r="J8" i="6"/>
  <c r="D8" i="6"/>
  <c r="C7" i="6"/>
  <c r="J5" i="6"/>
  <c r="J10" i="6"/>
  <c r="C8" i="6"/>
  <c r="J6" i="6"/>
  <c r="I5" i="6"/>
  <c r="C5" i="6"/>
  <c r="D12" i="6"/>
  <c r="C9" i="6"/>
  <c r="B8" i="6"/>
  <c r="C12" i="6"/>
  <c r="B9" i="6"/>
  <c r="D5" i="5"/>
  <c r="J9" i="6"/>
  <c r="B5" i="6"/>
  <c r="J12" i="6"/>
  <c r="D7" i="6"/>
  <c r="D6" i="6"/>
  <c r="D11" i="6"/>
  <c r="D5" i="3"/>
  <c r="T5" i="2"/>
  <c r="H76" i="10"/>
  <c r="B6" i="7"/>
  <c r="B6" i="5"/>
  <c r="B6" i="3"/>
  <c r="B6" i="4"/>
  <c r="D7" i="5"/>
  <c r="I7" i="6"/>
  <c r="D7" i="3"/>
  <c r="T7" i="2"/>
  <c r="G7" i="3" s="1"/>
  <c r="H78" i="10"/>
  <c r="B8" i="5"/>
  <c r="B8" i="7"/>
  <c r="B8" i="4"/>
  <c r="B8" i="3"/>
  <c r="D9" i="5"/>
  <c r="I9" i="6"/>
  <c r="D9" i="3"/>
  <c r="T9" i="2"/>
  <c r="G9" i="3" s="1"/>
  <c r="H80" i="10"/>
  <c r="B10" i="7"/>
  <c r="B10" i="5"/>
  <c r="B10" i="3"/>
  <c r="B10" i="4"/>
  <c r="I11" i="6"/>
  <c r="D11" i="5"/>
  <c r="D11" i="3"/>
  <c r="T11" i="2"/>
  <c r="G11" i="3" s="1"/>
  <c r="H82" i="10"/>
  <c r="B12" i="5"/>
  <c r="B12" i="7"/>
  <c r="B12" i="4"/>
  <c r="B12" i="3"/>
  <c r="D13" i="5"/>
  <c r="D13" i="3"/>
  <c r="T13" i="2"/>
  <c r="G13" i="3" s="1"/>
  <c r="B14" i="7"/>
  <c r="H84" i="10"/>
  <c r="B14" i="5"/>
  <c r="B14" i="3"/>
  <c r="B14" i="4"/>
  <c r="D15" i="5"/>
  <c r="D15" i="3"/>
  <c r="T15" i="2"/>
  <c r="G15" i="3" s="1"/>
  <c r="AF15" i="2"/>
  <c r="H86" i="10"/>
  <c r="B16" i="5"/>
  <c r="B16" i="7"/>
  <c r="B16" i="4"/>
  <c r="B16" i="3"/>
  <c r="D17" i="5"/>
  <c r="D17" i="3"/>
  <c r="T17" i="2"/>
  <c r="G17" i="3" s="1"/>
  <c r="AF17" i="2"/>
  <c r="H88" i="10"/>
  <c r="B18" i="7"/>
  <c r="B18" i="4"/>
  <c r="B18" i="3"/>
  <c r="B18" i="5"/>
  <c r="D19" i="5"/>
  <c r="D19" i="3"/>
  <c r="T19" i="2"/>
  <c r="G19" i="3" s="1"/>
  <c r="AF19" i="2"/>
  <c r="H90" i="10"/>
  <c r="B20" i="5"/>
  <c r="B20" i="7"/>
  <c r="B20" i="4"/>
  <c r="B20" i="3"/>
  <c r="D21" i="3"/>
  <c r="D21" i="5"/>
  <c r="AF21" i="2"/>
  <c r="H92" i="10"/>
  <c r="B22" i="7"/>
  <c r="B22" i="4"/>
  <c r="B22" i="3"/>
  <c r="B22" i="5"/>
  <c r="D23" i="5"/>
  <c r="D23" i="3"/>
  <c r="AF23" i="2"/>
  <c r="H94" i="10"/>
  <c r="B24" i="5"/>
  <c r="B24" i="7"/>
  <c r="B24" i="4"/>
  <c r="B24" i="3"/>
  <c r="D25" i="5"/>
  <c r="D25" i="3"/>
  <c r="A27" i="7"/>
  <c r="A27" i="4"/>
  <c r="A27" i="5"/>
  <c r="A27" i="3"/>
  <c r="D28" i="5"/>
  <c r="D28" i="3"/>
  <c r="J28" i="2"/>
  <c r="Q28" i="2"/>
  <c r="Q29" i="2"/>
  <c r="M46" i="10"/>
  <c r="C29" i="7"/>
  <c r="D29" i="7" s="1"/>
  <c r="A30" i="7"/>
  <c r="A30" i="4"/>
  <c r="A30" i="5"/>
  <c r="A30" i="3"/>
  <c r="C31" i="5"/>
  <c r="C31" i="3"/>
  <c r="T31" i="2"/>
  <c r="G31" i="3" s="1"/>
  <c r="Y31" i="2"/>
  <c r="Q33" i="2"/>
  <c r="A34" i="7"/>
  <c r="A34" i="4"/>
  <c r="A34" i="5"/>
  <c r="A34" i="3"/>
  <c r="AF34" i="2"/>
  <c r="C35" i="5"/>
  <c r="C35" i="3"/>
  <c r="T35" i="2"/>
  <c r="G35" i="3" s="1"/>
  <c r="Y35" i="2"/>
  <c r="Q37" i="2"/>
  <c r="M54" i="10"/>
  <c r="C37" i="7"/>
  <c r="D37" i="7" s="1"/>
  <c r="A38" i="5"/>
  <c r="A38" i="7"/>
  <c r="A38" i="4"/>
  <c r="A38" i="3"/>
  <c r="AF38" i="2"/>
  <c r="C39" i="5"/>
  <c r="C39" i="3"/>
  <c r="T39" i="2"/>
  <c r="G39" i="3" s="1"/>
  <c r="Y39" i="2"/>
  <c r="Q41" i="2"/>
  <c r="V41" i="2" s="1"/>
  <c r="M41" i="4" s="1"/>
  <c r="C41" i="7"/>
  <c r="D41" i="7" s="1"/>
  <c r="M58" i="10"/>
  <c r="A42" i="5"/>
  <c r="A42" i="4"/>
  <c r="A42" i="7"/>
  <c r="A42" i="3"/>
  <c r="AF42" i="2"/>
  <c r="C43" i="5"/>
  <c r="C43" i="3"/>
  <c r="T43" i="2"/>
  <c r="G43" i="3" s="1"/>
  <c r="Y43" i="2"/>
  <c r="Q46" i="2"/>
  <c r="W46" i="2" s="1"/>
  <c r="B117" i="10"/>
  <c r="I47" i="4"/>
  <c r="F47" i="7"/>
  <c r="H47" i="4"/>
  <c r="G47" i="4"/>
  <c r="F47" i="4"/>
  <c r="J47" i="4"/>
  <c r="R47" i="2"/>
  <c r="S47" i="2" s="1"/>
  <c r="B119" i="10"/>
  <c r="F49" i="7"/>
  <c r="G49" i="4"/>
  <c r="J49" i="4"/>
  <c r="F49" i="4"/>
  <c r="I49" i="4"/>
  <c r="H49" i="4"/>
  <c r="R49" i="2"/>
  <c r="S49" i="2" s="1"/>
  <c r="B121" i="10"/>
  <c r="I51" i="4"/>
  <c r="H51" i="4"/>
  <c r="F51" i="7"/>
  <c r="J51" i="4"/>
  <c r="G51" i="4"/>
  <c r="F51" i="4"/>
  <c r="R51" i="2"/>
  <c r="S51" i="2" s="1"/>
  <c r="B123" i="10"/>
  <c r="F53" i="7"/>
  <c r="G53" i="4"/>
  <c r="J53" i="4"/>
  <c r="F53" i="4"/>
  <c r="I53" i="4"/>
  <c r="H53" i="4"/>
  <c r="R53" i="2"/>
  <c r="S53" i="2" s="1"/>
  <c r="B125" i="10"/>
  <c r="F55" i="7"/>
  <c r="I55" i="4"/>
  <c r="H55" i="4"/>
  <c r="G55" i="4"/>
  <c r="F55" i="4"/>
  <c r="J55" i="4"/>
  <c r="R55" i="2"/>
  <c r="S55" i="2" s="1"/>
  <c r="B127" i="10"/>
  <c r="F57" i="7"/>
  <c r="G57" i="4"/>
  <c r="J57" i="4"/>
  <c r="F57" i="4"/>
  <c r="I57" i="4"/>
  <c r="H57" i="4"/>
  <c r="R57" i="2"/>
  <c r="S57" i="2" s="1"/>
  <c r="B129" i="10"/>
  <c r="F59" i="7"/>
  <c r="I59" i="4"/>
  <c r="H59" i="4"/>
  <c r="J59" i="4"/>
  <c r="G59" i="4"/>
  <c r="F59" i="4"/>
  <c r="R59" i="2"/>
  <c r="S59" i="2" s="1"/>
  <c r="B131" i="10"/>
  <c r="F61" i="7"/>
  <c r="G61" i="4"/>
  <c r="J61" i="4"/>
  <c r="F61" i="4"/>
  <c r="I61" i="4"/>
  <c r="H61" i="4"/>
  <c r="R61" i="2"/>
  <c r="S61" i="2" s="1"/>
  <c r="B133" i="10"/>
  <c r="F63" i="7"/>
  <c r="I63" i="4"/>
  <c r="H63" i="4"/>
  <c r="G63" i="4"/>
  <c r="F63" i="4"/>
  <c r="J63" i="4"/>
  <c r="R63" i="2"/>
  <c r="S63" i="2" s="1"/>
  <c r="B135" i="10"/>
  <c r="F65" i="7"/>
  <c r="G65" i="4"/>
  <c r="J65" i="4"/>
  <c r="F65" i="4"/>
  <c r="I65" i="4"/>
  <c r="H65" i="4"/>
  <c r="R65" i="2"/>
  <c r="S65" i="2" s="1"/>
  <c r="B137" i="10"/>
  <c r="F67" i="7"/>
  <c r="I67" i="4"/>
  <c r="H67" i="4"/>
  <c r="J67" i="4"/>
  <c r="G67" i="4"/>
  <c r="F67" i="4"/>
  <c r="R67" i="2"/>
  <c r="S67" i="2" s="1"/>
  <c r="B139" i="10"/>
  <c r="F69" i="7"/>
  <c r="G69" i="4"/>
  <c r="J69" i="4"/>
  <c r="F69" i="4"/>
  <c r="I69" i="4"/>
  <c r="H69" i="4"/>
  <c r="R69" i="2"/>
  <c r="S69" i="2" s="1"/>
  <c r="B141" i="10"/>
  <c r="F71" i="7"/>
  <c r="I71" i="4"/>
  <c r="H71" i="4"/>
  <c r="G71" i="4"/>
  <c r="F71" i="4"/>
  <c r="J71" i="4"/>
  <c r="R71" i="2"/>
  <c r="S71" i="2" s="1"/>
  <c r="B143" i="10"/>
  <c r="F73" i="7"/>
  <c r="G73" i="4"/>
  <c r="J73" i="4"/>
  <c r="F73" i="4"/>
  <c r="I73" i="4"/>
  <c r="H73" i="4"/>
  <c r="R73" i="2"/>
  <c r="S73" i="2" s="1"/>
  <c r="B145" i="10"/>
  <c r="I75" i="4"/>
  <c r="F75" i="7"/>
  <c r="H75" i="4"/>
  <c r="J75" i="4"/>
  <c r="G75" i="4"/>
  <c r="F75" i="4"/>
  <c r="R75" i="2"/>
  <c r="S75" i="2" s="1"/>
  <c r="B147" i="10"/>
  <c r="F77" i="7"/>
  <c r="G77" i="4"/>
  <c r="J77" i="4"/>
  <c r="F77" i="4"/>
  <c r="I77" i="4"/>
  <c r="H77" i="4"/>
  <c r="R77" i="2"/>
  <c r="S77" i="2" s="1"/>
  <c r="B149" i="10"/>
  <c r="F79" i="7"/>
  <c r="I79" i="4"/>
  <c r="H79" i="4"/>
  <c r="G79" i="4"/>
  <c r="F79" i="4"/>
  <c r="J79" i="4"/>
  <c r="R79" i="2"/>
  <c r="S79" i="2" s="1"/>
  <c r="B151" i="10"/>
  <c r="F81" i="7"/>
  <c r="G81" i="4"/>
  <c r="J81" i="4"/>
  <c r="F81" i="4"/>
  <c r="I81" i="4"/>
  <c r="H81" i="4"/>
  <c r="R81" i="2"/>
  <c r="S81" i="2" s="1"/>
  <c r="B153" i="10"/>
  <c r="F83" i="7"/>
  <c r="I83" i="4"/>
  <c r="H83" i="4"/>
  <c r="J83" i="4"/>
  <c r="G83" i="4"/>
  <c r="F83" i="4"/>
  <c r="R83" i="2"/>
  <c r="S83" i="2" s="1"/>
  <c r="B155" i="10"/>
  <c r="F85" i="7"/>
  <c r="G85" i="4"/>
  <c r="J85" i="4"/>
  <c r="F85" i="4"/>
  <c r="I85" i="4"/>
  <c r="H85" i="4"/>
  <c r="R85" i="2"/>
  <c r="S85" i="2" s="1"/>
  <c r="B157" i="10"/>
  <c r="F87" i="7"/>
  <c r="I87" i="4"/>
  <c r="H87" i="4"/>
  <c r="G87" i="4"/>
  <c r="F87" i="4"/>
  <c r="J87" i="4"/>
  <c r="R87" i="2"/>
  <c r="S87" i="2" s="1"/>
  <c r="B159" i="10"/>
  <c r="F89" i="7"/>
  <c r="G89" i="4"/>
  <c r="J89" i="4"/>
  <c r="F89" i="4"/>
  <c r="I89" i="4"/>
  <c r="H89" i="4"/>
  <c r="R89" i="2"/>
  <c r="S89" i="2" s="1"/>
  <c r="B161" i="10"/>
  <c r="F91" i="7"/>
  <c r="I91" i="4"/>
  <c r="H91" i="4"/>
  <c r="J91" i="4"/>
  <c r="G91" i="4"/>
  <c r="F91" i="4"/>
  <c r="R91" i="2"/>
  <c r="S91" i="2" s="1"/>
  <c r="B163" i="10"/>
  <c r="F93" i="7"/>
  <c r="G93" i="4"/>
  <c r="J93" i="4"/>
  <c r="F93" i="4"/>
  <c r="I93" i="4"/>
  <c r="H93" i="4"/>
  <c r="R93" i="2"/>
  <c r="S93" i="2" s="1"/>
  <c r="B165" i="10"/>
  <c r="F95" i="7"/>
  <c r="I95" i="4"/>
  <c r="H95" i="4"/>
  <c r="G95" i="4"/>
  <c r="F95" i="4"/>
  <c r="J95" i="4"/>
  <c r="R95" i="2"/>
  <c r="S95" i="2" s="1"/>
  <c r="B167" i="10"/>
  <c r="F97" i="7"/>
  <c r="G97" i="4"/>
  <c r="J97" i="4"/>
  <c r="F97" i="4"/>
  <c r="I97" i="4"/>
  <c r="H97" i="4"/>
  <c r="R97" i="2"/>
  <c r="S97" i="2" s="1"/>
  <c r="B169" i="10"/>
  <c r="I99" i="4"/>
  <c r="F99" i="7"/>
  <c r="H99" i="4"/>
  <c r="J99" i="4"/>
  <c r="G99" i="4"/>
  <c r="F99" i="4"/>
  <c r="R99" i="2"/>
  <c r="S99" i="2" s="1"/>
  <c r="F101" i="7"/>
  <c r="B171" i="10"/>
  <c r="G101" i="4"/>
  <c r="J101" i="4"/>
  <c r="F101" i="4"/>
  <c r="I101" i="4"/>
  <c r="H101" i="4"/>
  <c r="R101" i="2"/>
  <c r="S101" i="2" s="1"/>
  <c r="B173" i="10"/>
  <c r="F103" i="7"/>
  <c r="I103" i="4"/>
  <c r="H103" i="4"/>
  <c r="G103" i="4"/>
  <c r="F103" i="4"/>
  <c r="J103" i="4"/>
  <c r="R103" i="2"/>
  <c r="S103" i="2" s="1"/>
  <c r="B175" i="10"/>
  <c r="F105" i="7"/>
  <c r="G105" i="4"/>
  <c r="J105" i="4"/>
  <c r="F105" i="4"/>
  <c r="I105" i="4"/>
  <c r="H105" i="4"/>
  <c r="R105" i="2"/>
  <c r="S105" i="2" s="1"/>
  <c r="B177" i="10"/>
  <c r="F107" i="7"/>
  <c r="I107" i="4"/>
  <c r="H107" i="4"/>
  <c r="J107" i="4"/>
  <c r="G107" i="4"/>
  <c r="F107" i="4"/>
  <c r="R107" i="2"/>
  <c r="S107" i="2" s="1"/>
  <c r="B179" i="10"/>
  <c r="F109" i="7"/>
  <c r="G109" i="4"/>
  <c r="J109" i="4"/>
  <c r="F109" i="4"/>
  <c r="I109" i="4"/>
  <c r="H109" i="4"/>
  <c r="R109" i="2"/>
  <c r="S109" i="2" s="1"/>
  <c r="B181" i="10"/>
  <c r="F111" i="7"/>
  <c r="I111" i="4"/>
  <c r="H111" i="4"/>
  <c r="G111" i="4"/>
  <c r="F111" i="4"/>
  <c r="J111" i="4"/>
  <c r="R111" i="2"/>
  <c r="S111" i="2" s="1"/>
  <c r="B183" i="10"/>
  <c r="G113" i="4"/>
  <c r="J113" i="4"/>
  <c r="F113" i="4"/>
  <c r="I113" i="4"/>
  <c r="F113" i="7"/>
  <c r="H113" i="4"/>
  <c r="R113" i="2"/>
  <c r="S113" i="2" s="1"/>
  <c r="B185" i="10"/>
  <c r="F115" i="7"/>
  <c r="I115" i="4"/>
  <c r="H115" i="4"/>
  <c r="J115" i="4"/>
  <c r="G115" i="4"/>
  <c r="F115" i="4"/>
  <c r="R115" i="2"/>
  <c r="S115" i="2" s="1"/>
  <c r="B187" i="10"/>
  <c r="F117" i="7"/>
  <c r="G117" i="4"/>
  <c r="J117" i="4"/>
  <c r="F117" i="4"/>
  <c r="I117" i="4"/>
  <c r="H117" i="4"/>
  <c r="R117" i="2"/>
  <c r="S117" i="2" s="1"/>
  <c r="B189" i="10"/>
  <c r="F119" i="7"/>
  <c r="I119" i="4"/>
  <c r="H119" i="4"/>
  <c r="G119" i="4"/>
  <c r="F119" i="4"/>
  <c r="J119" i="4"/>
  <c r="R119" i="2"/>
  <c r="S119" i="2" s="1"/>
  <c r="B191" i="10"/>
  <c r="F121" i="7"/>
  <c r="G121" i="4"/>
  <c r="J121" i="4"/>
  <c r="F121" i="4"/>
  <c r="I121" i="4"/>
  <c r="H121" i="4"/>
  <c r="R121" i="2"/>
  <c r="S121" i="2" s="1"/>
  <c r="B193" i="10"/>
  <c r="F123" i="7"/>
  <c r="I123" i="4"/>
  <c r="H123" i="4"/>
  <c r="J123" i="4"/>
  <c r="G123" i="4"/>
  <c r="F123" i="4"/>
  <c r="R123" i="2"/>
  <c r="S123" i="2" s="1"/>
  <c r="B195" i="10"/>
  <c r="F125" i="7"/>
  <c r="G125" i="4"/>
  <c r="J125" i="4"/>
  <c r="F125" i="4"/>
  <c r="I125" i="4"/>
  <c r="H125" i="4"/>
  <c r="R125" i="2"/>
  <c r="S125" i="2" s="1"/>
  <c r="B197" i="10"/>
  <c r="F127" i="7"/>
  <c r="I127" i="4"/>
  <c r="H127" i="4"/>
  <c r="G127" i="4"/>
  <c r="F127" i="4"/>
  <c r="J127" i="4"/>
  <c r="R127" i="2"/>
  <c r="S127" i="2" s="1"/>
  <c r="B199" i="10"/>
  <c r="F129" i="7"/>
  <c r="G129" i="4"/>
  <c r="J129" i="4"/>
  <c r="F129" i="4"/>
  <c r="I129" i="4"/>
  <c r="H129" i="4"/>
  <c r="R129" i="2"/>
  <c r="S129" i="2" s="1"/>
  <c r="W138" i="2"/>
  <c r="D138" i="4"/>
  <c r="A208" i="10"/>
  <c r="G138" i="7"/>
  <c r="F138" i="5"/>
  <c r="G138" i="5" s="1"/>
  <c r="H138" i="5" s="1"/>
  <c r="I138" i="5" s="1"/>
  <c r="E138" i="3"/>
  <c r="C138" i="4"/>
  <c r="E138" i="4" s="1"/>
  <c r="AF138" i="2"/>
  <c r="V138" i="2"/>
  <c r="M138" i="4" s="1"/>
  <c r="F138" i="7"/>
  <c r="B208" i="10"/>
  <c r="J138" i="4"/>
  <c r="F138" i="4"/>
  <c r="I138" i="4"/>
  <c r="H138" i="4"/>
  <c r="G138" i="4"/>
  <c r="R138" i="2"/>
  <c r="S138" i="2" s="1"/>
  <c r="D146" i="4"/>
  <c r="W146" i="2"/>
  <c r="A216" i="10"/>
  <c r="G146" i="7"/>
  <c r="E146" i="3"/>
  <c r="C146" i="4"/>
  <c r="E146" i="4" s="1"/>
  <c r="F146" i="5"/>
  <c r="G146" i="5" s="1"/>
  <c r="H146" i="5" s="1"/>
  <c r="I146" i="5" s="1"/>
  <c r="AF146" i="2"/>
  <c r="V146" i="2"/>
  <c r="M146" i="4" s="1"/>
  <c r="B216" i="10"/>
  <c r="F146" i="7"/>
  <c r="J146" i="4"/>
  <c r="F146" i="4"/>
  <c r="I146" i="4"/>
  <c r="H146" i="4"/>
  <c r="G146" i="4"/>
  <c r="R146" i="2"/>
  <c r="S146" i="2" s="1"/>
  <c r="W154" i="2"/>
  <c r="D154" i="4"/>
  <c r="A224" i="10"/>
  <c r="G154" i="7"/>
  <c r="F154" i="5"/>
  <c r="G154" i="5" s="1"/>
  <c r="H154" i="5" s="1"/>
  <c r="I154" i="5" s="1"/>
  <c r="C154" i="4"/>
  <c r="E154" i="4" s="1"/>
  <c r="E154" i="3"/>
  <c r="AF154" i="2"/>
  <c r="V154" i="2"/>
  <c r="M154" i="4" s="1"/>
  <c r="B224" i="10"/>
  <c r="F154" i="7"/>
  <c r="J154" i="4"/>
  <c r="F154" i="4"/>
  <c r="H154" i="4"/>
  <c r="G154" i="4"/>
  <c r="I154" i="4"/>
  <c r="R154" i="2"/>
  <c r="S154" i="2" s="1"/>
  <c r="A5" i="5"/>
  <c r="A5" i="7"/>
  <c r="A5" i="3"/>
  <c r="A5" i="4"/>
  <c r="C6" i="5"/>
  <c r="C6" i="3"/>
  <c r="M23" i="10"/>
  <c r="C6" i="7"/>
  <c r="D6" i="7" s="1"/>
  <c r="Q7" i="2"/>
  <c r="A9" i="5"/>
  <c r="A9" i="7"/>
  <c r="A9" i="4"/>
  <c r="A9" i="3"/>
  <c r="C10" i="5"/>
  <c r="C10" i="3"/>
  <c r="M27" i="10"/>
  <c r="C10" i="7"/>
  <c r="D10" i="7" s="1"/>
  <c r="C12" i="5"/>
  <c r="C12" i="3"/>
  <c r="A13" i="5"/>
  <c r="A13" i="7"/>
  <c r="A13" i="3"/>
  <c r="A13" i="4"/>
  <c r="K13" i="4"/>
  <c r="I83" i="10" s="1"/>
  <c r="C14" i="5"/>
  <c r="C14" i="3"/>
  <c r="M31" i="10"/>
  <c r="C14" i="7"/>
  <c r="D14" i="7" s="1"/>
  <c r="A15" i="7"/>
  <c r="A15" i="4"/>
  <c r="A15" i="5"/>
  <c r="A15" i="3"/>
  <c r="C16" i="5"/>
  <c r="C16" i="3"/>
  <c r="M33" i="10"/>
  <c r="C16" i="7"/>
  <c r="D16" i="7" s="1"/>
  <c r="A17" i="5"/>
  <c r="A17" i="7"/>
  <c r="A17" i="3"/>
  <c r="A17" i="4"/>
  <c r="C18" i="5"/>
  <c r="C18" i="3"/>
  <c r="M35" i="10"/>
  <c r="C18" i="7"/>
  <c r="D18" i="7" s="1"/>
  <c r="A19" i="7"/>
  <c r="A19" i="4"/>
  <c r="A19" i="5"/>
  <c r="A19" i="3"/>
  <c r="C20" i="5"/>
  <c r="C20" i="3"/>
  <c r="M37" i="10"/>
  <c r="C20" i="7"/>
  <c r="D20" i="7" s="1"/>
  <c r="A21" i="5"/>
  <c r="A21" i="7"/>
  <c r="A21" i="4"/>
  <c r="A21" i="3"/>
  <c r="C22" i="5"/>
  <c r="C22" i="3"/>
  <c r="M39" i="10"/>
  <c r="C22" i="7"/>
  <c r="D22" i="7" s="1"/>
  <c r="A23" i="7"/>
  <c r="A23" i="5"/>
  <c r="A23" i="4"/>
  <c r="A23" i="3"/>
  <c r="C24" i="5"/>
  <c r="C24" i="3"/>
  <c r="M41" i="10"/>
  <c r="C24" i="7"/>
  <c r="D24" i="7" s="1"/>
  <c r="A25" i="5"/>
  <c r="A25" i="3"/>
  <c r="A25" i="4"/>
  <c r="A25" i="7"/>
  <c r="V25" i="2"/>
  <c r="M25" i="4" s="1"/>
  <c r="M42" i="10"/>
  <c r="C25" i="7"/>
  <c r="D25" i="7" s="1"/>
  <c r="C26" i="5"/>
  <c r="C26" i="3"/>
  <c r="B27" i="7"/>
  <c r="H97" i="10"/>
  <c r="B27" i="5"/>
  <c r="B27" i="4"/>
  <c r="B27" i="3"/>
  <c r="G27" i="7"/>
  <c r="C27" i="4"/>
  <c r="E27" i="4" s="1"/>
  <c r="L27" i="4" s="1"/>
  <c r="E27" i="3"/>
  <c r="F27" i="5"/>
  <c r="G27" i="5" s="1"/>
  <c r="H27" i="5" s="1"/>
  <c r="I27" i="5" s="1"/>
  <c r="AF27" i="2"/>
  <c r="A28" i="7"/>
  <c r="A28" i="5"/>
  <c r="A28" i="4"/>
  <c r="A28" i="3"/>
  <c r="D28" i="4"/>
  <c r="W28" i="2"/>
  <c r="H99" i="10"/>
  <c r="B29" i="7"/>
  <c r="B29" i="5"/>
  <c r="B29" i="4"/>
  <c r="B29" i="3"/>
  <c r="G29" i="7"/>
  <c r="F29" i="5"/>
  <c r="G29" i="5" s="1"/>
  <c r="H29" i="5" s="1"/>
  <c r="I29" i="5" s="1"/>
  <c r="C29" i="4"/>
  <c r="E29" i="4" s="1"/>
  <c r="E29" i="3"/>
  <c r="AF29" i="2"/>
  <c r="V29" i="2"/>
  <c r="M29" i="4" s="1"/>
  <c r="D32" i="3"/>
  <c r="D32" i="5"/>
  <c r="J32" i="2"/>
  <c r="B10" i="6" s="1"/>
  <c r="Q32" i="2"/>
  <c r="Y32" i="2"/>
  <c r="H103" i="10"/>
  <c r="B33" i="7"/>
  <c r="B33" i="5"/>
  <c r="B33" i="4"/>
  <c r="B33" i="3"/>
  <c r="A103" i="10"/>
  <c r="G33" i="7"/>
  <c r="C33" i="4"/>
  <c r="E33" i="4" s="1"/>
  <c r="F33" i="5"/>
  <c r="G33" i="5" s="1"/>
  <c r="H33" i="5" s="1"/>
  <c r="I33" i="5" s="1"/>
  <c r="E33" i="3"/>
  <c r="AF33" i="2"/>
  <c r="V33" i="2"/>
  <c r="M33" i="4" s="1"/>
  <c r="D36" i="3"/>
  <c r="D36" i="5"/>
  <c r="J36" i="2"/>
  <c r="Q36" i="2"/>
  <c r="Y36" i="2"/>
  <c r="B37" i="7"/>
  <c r="B37" i="5"/>
  <c r="B37" i="4"/>
  <c r="B37" i="3"/>
  <c r="A107" i="10"/>
  <c r="G37" i="7"/>
  <c r="C37" i="4"/>
  <c r="E37" i="4" s="1"/>
  <c r="E37" i="3"/>
  <c r="F37" i="5"/>
  <c r="G37" i="5" s="1"/>
  <c r="H37" i="5" s="1"/>
  <c r="I37" i="5" s="1"/>
  <c r="AF37" i="2"/>
  <c r="V37" i="2"/>
  <c r="M37" i="4" s="1"/>
  <c r="D40" i="5"/>
  <c r="D40" i="3"/>
  <c r="J40" i="2"/>
  <c r="Q40" i="2"/>
  <c r="Y40" i="2"/>
  <c r="H111" i="10"/>
  <c r="B41" i="7"/>
  <c r="B41" i="4"/>
  <c r="B41" i="5"/>
  <c r="B41" i="3"/>
  <c r="G41" i="7"/>
  <c r="A111" i="10"/>
  <c r="F41" i="5"/>
  <c r="G41" i="5" s="1"/>
  <c r="H41" i="5" s="1"/>
  <c r="I41" i="5" s="1"/>
  <c r="C41" i="4"/>
  <c r="E41" i="4" s="1"/>
  <c r="E41" i="3"/>
  <c r="AF41" i="2"/>
  <c r="D44" i="5"/>
  <c r="D44" i="3"/>
  <c r="J44" i="2"/>
  <c r="Q44" i="2"/>
  <c r="B115" i="10"/>
  <c r="F45" i="7"/>
  <c r="G45" i="4"/>
  <c r="J45" i="4"/>
  <c r="F45" i="4"/>
  <c r="I45" i="4"/>
  <c r="H45" i="4"/>
  <c r="R45" i="2"/>
  <c r="S45" i="2" s="1"/>
  <c r="W45" i="2"/>
  <c r="J46" i="2"/>
  <c r="A118" i="10"/>
  <c r="F48" i="5"/>
  <c r="G48" i="5" s="1"/>
  <c r="H48" i="5" s="1"/>
  <c r="I48" i="5" s="1"/>
  <c r="C48" i="4"/>
  <c r="E48" i="4" s="1"/>
  <c r="G48" i="7"/>
  <c r="E48" i="3"/>
  <c r="AF48" i="2"/>
  <c r="V48" i="2"/>
  <c r="M48" i="4" s="1"/>
  <c r="B118" i="10"/>
  <c r="F48" i="7"/>
  <c r="H48" i="4"/>
  <c r="G48" i="4"/>
  <c r="J48" i="4"/>
  <c r="I48" i="4"/>
  <c r="F48" i="4"/>
  <c r="R48" i="2"/>
  <c r="S48" i="2" s="1"/>
  <c r="A120" i="10"/>
  <c r="G50" i="7"/>
  <c r="F50" i="5"/>
  <c r="G50" i="5" s="1"/>
  <c r="H50" i="5" s="1"/>
  <c r="I50" i="5" s="1"/>
  <c r="E50" i="3"/>
  <c r="C50" i="4"/>
  <c r="E50" i="4" s="1"/>
  <c r="AF50" i="2"/>
  <c r="V50" i="2"/>
  <c r="M50" i="4" s="1"/>
  <c r="B120" i="10"/>
  <c r="F50" i="7"/>
  <c r="J50" i="4"/>
  <c r="F50" i="4"/>
  <c r="I50" i="4"/>
  <c r="H50" i="4"/>
  <c r="G50" i="4"/>
  <c r="R50" i="2"/>
  <c r="S50" i="2" s="1"/>
  <c r="A122" i="10"/>
  <c r="F52" i="5"/>
  <c r="G52" i="5" s="1"/>
  <c r="H52" i="5" s="1"/>
  <c r="I52" i="5" s="1"/>
  <c r="G52" i="7"/>
  <c r="C52" i="4"/>
  <c r="E52" i="4" s="1"/>
  <c r="E52" i="3"/>
  <c r="AF52" i="2"/>
  <c r="V52" i="2"/>
  <c r="M52" i="4" s="1"/>
  <c r="B122" i="10"/>
  <c r="F52" i="7"/>
  <c r="H52" i="4"/>
  <c r="G52" i="4"/>
  <c r="F52" i="4"/>
  <c r="J52" i="4"/>
  <c r="I52" i="4"/>
  <c r="R52" i="2"/>
  <c r="S52" i="2" s="1"/>
  <c r="A124" i="10"/>
  <c r="F54" i="5"/>
  <c r="G54" i="5" s="1"/>
  <c r="H54" i="5" s="1"/>
  <c r="I54" i="5" s="1"/>
  <c r="G54" i="7"/>
  <c r="C54" i="4"/>
  <c r="E54" i="4" s="1"/>
  <c r="E54" i="3"/>
  <c r="AF54" i="2"/>
  <c r="V54" i="2"/>
  <c r="M54" i="4" s="1"/>
  <c r="F54" i="7"/>
  <c r="B124" i="10"/>
  <c r="J54" i="4"/>
  <c r="F54" i="4"/>
  <c r="I54" i="4"/>
  <c r="H54" i="4"/>
  <c r="G54" i="4"/>
  <c r="R54" i="2"/>
  <c r="S54" i="2" s="1"/>
  <c r="A126" i="10"/>
  <c r="F56" i="5"/>
  <c r="G56" i="5" s="1"/>
  <c r="H56" i="5" s="1"/>
  <c r="I56" i="5" s="1"/>
  <c r="G56" i="7"/>
  <c r="C56" i="4"/>
  <c r="E56" i="4" s="1"/>
  <c r="E56" i="3"/>
  <c r="AF56" i="2"/>
  <c r="V56" i="2"/>
  <c r="M56" i="4" s="1"/>
  <c r="B126" i="10"/>
  <c r="F56" i="7"/>
  <c r="H56" i="4"/>
  <c r="G56" i="4"/>
  <c r="J56" i="4"/>
  <c r="I56" i="4"/>
  <c r="F56" i="4"/>
  <c r="R56" i="2"/>
  <c r="S56" i="2" s="1"/>
  <c r="A128" i="10"/>
  <c r="F58" i="5"/>
  <c r="G58" i="5" s="1"/>
  <c r="H58" i="5" s="1"/>
  <c r="I58" i="5" s="1"/>
  <c r="G58" i="7"/>
  <c r="C58" i="4"/>
  <c r="E58" i="4" s="1"/>
  <c r="E58" i="3"/>
  <c r="AF58" i="2"/>
  <c r="V58" i="2"/>
  <c r="M58" i="4" s="1"/>
  <c r="B128" i="10"/>
  <c r="F58" i="7"/>
  <c r="J58" i="4"/>
  <c r="F58" i="4"/>
  <c r="I58" i="4"/>
  <c r="H58" i="4"/>
  <c r="G58" i="4"/>
  <c r="R58" i="2"/>
  <c r="S58" i="2" s="1"/>
  <c r="A130" i="10"/>
  <c r="F60" i="5"/>
  <c r="G60" i="5" s="1"/>
  <c r="H60" i="5" s="1"/>
  <c r="I60" i="5" s="1"/>
  <c r="G60" i="7"/>
  <c r="C60" i="4"/>
  <c r="E60" i="4" s="1"/>
  <c r="E60" i="3"/>
  <c r="AF60" i="2"/>
  <c r="V60" i="2"/>
  <c r="M60" i="4" s="1"/>
  <c r="B130" i="10"/>
  <c r="H60" i="4"/>
  <c r="G60" i="4"/>
  <c r="F60" i="4"/>
  <c r="F60" i="7"/>
  <c r="J60" i="4"/>
  <c r="I60" i="4"/>
  <c r="R60" i="2"/>
  <c r="S60" i="2" s="1"/>
  <c r="G62" i="7"/>
  <c r="A132" i="10"/>
  <c r="F62" i="5"/>
  <c r="G62" i="5" s="1"/>
  <c r="H62" i="5" s="1"/>
  <c r="I62" i="5" s="1"/>
  <c r="C62" i="4"/>
  <c r="E62" i="4" s="1"/>
  <c r="E62" i="3"/>
  <c r="AF62" i="2"/>
  <c r="V62" i="2"/>
  <c r="M62" i="4" s="1"/>
  <c r="B132" i="10"/>
  <c r="F62" i="7"/>
  <c r="J62" i="4"/>
  <c r="F62" i="4"/>
  <c r="I62" i="4"/>
  <c r="H62" i="4"/>
  <c r="G62" i="4"/>
  <c r="R62" i="2"/>
  <c r="S62" i="2" s="1"/>
  <c r="A134" i="10"/>
  <c r="F64" i="5"/>
  <c r="G64" i="5" s="1"/>
  <c r="H64" i="5" s="1"/>
  <c r="I64" i="5" s="1"/>
  <c r="G64" i="7"/>
  <c r="C64" i="4"/>
  <c r="E64" i="4" s="1"/>
  <c r="E64" i="3"/>
  <c r="AF64" i="2"/>
  <c r="V64" i="2"/>
  <c r="M64" i="4" s="1"/>
  <c r="B134" i="10"/>
  <c r="F64" i="7"/>
  <c r="H64" i="4"/>
  <c r="G64" i="4"/>
  <c r="J64" i="4"/>
  <c r="I64" i="4"/>
  <c r="F64" i="4"/>
  <c r="R64" i="2"/>
  <c r="S64" i="2" s="1"/>
  <c r="A136" i="10"/>
  <c r="F66" i="5"/>
  <c r="G66" i="5" s="1"/>
  <c r="H66" i="5" s="1"/>
  <c r="I66" i="5" s="1"/>
  <c r="G66" i="7"/>
  <c r="E66" i="3"/>
  <c r="C66" i="4"/>
  <c r="E66" i="4" s="1"/>
  <c r="AF66" i="2"/>
  <c r="V66" i="2"/>
  <c r="M66" i="4" s="1"/>
  <c r="B136" i="10"/>
  <c r="F66" i="7"/>
  <c r="J66" i="4"/>
  <c r="F66" i="4"/>
  <c r="I66" i="4"/>
  <c r="H66" i="4"/>
  <c r="G66" i="4"/>
  <c r="R66" i="2"/>
  <c r="S66" i="2" s="1"/>
  <c r="A138" i="10"/>
  <c r="F68" i="5"/>
  <c r="G68" i="5" s="1"/>
  <c r="H68" i="5" s="1"/>
  <c r="I68" i="5" s="1"/>
  <c r="G68" i="7"/>
  <c r="C68" i="4"/>
  <c r="E68" i="4" s="1"/>
  <c r="E68" i="3"/>
  <c r="AF68" i="2"/>
  <c r="V68" i="2"/>
  <c r="M68" i="4" s="1"/>
  <c r="B138" i="10"/>
  <c r="F68" i="7"/>
  <c r="H68" i="4"/>
  <c r="G68" i="4"/>
  <c r="F68" i="4"/>
  <c r="J68" i="4"/>
  <c r="I68" i="4"/>
  <c r="R68" i="2"/>
  <c r="S68" i="2" s="1"/>
  <c r="A140" i="10"/>
  <c r="G70" i="7"/>
  <c r="F70" i="5"/>
  <c r="G70" i="5" s="1"/>
  <c r="H70" i="5" s="1"/>
  <c r="I70" i="5" s="1"/>
  <c r="C70" i="4"/>
  <c r="E70" i="4" s="1"/>
  <c r="E70" i="3"/>
  <c r="AF70" i="2"/>
  <c r="V70" i="2"/>
  <c r="M70" i="4" s="1"/>
  <c r="B140" i="10"/>
  <c r="F70" i="7"/>
  <c r="J70" i="4"/>
  <c r="F70" i="4"/>
  <c r="I70" i="4"/>
  <c r="H70" i="4"/>
  <c r="G70" i="4"/>
  <c r="R70" i="2"/>
  <c r="S70" i="2" s="1"/>
  <c r="A142" i="10"/>
  <c r="F72" i="5"/>
  <c r="G72" i="5" s="1"/>
  <c r="H72" i="5" s="1"/>
  <c r="I72" i="5" s="1"/>
  <c r="G72" i="7"/>
  <c r="C72" i="4"/>
  <c r="E72" i="4" s="1"/>
  <c r="E72" i="3"/>
  <c r="AF72" i="2"/>
  <c r="V72" i="2"/>
  <c r="M72" i="4" s="1"/>
  <c r="B142" i="10"/>
  <c r="F72" i="7"/>
  <c r="H72" i="4"/>
  <c r="G72" i="4"/>
  <c r="J72" i="4"/>
  <c r="I72" i="4"/>
  <c r="F72" i="4"/>
  <c r="R72" i="2"/>
  <c r="S72" i="2" s="1"/>
  <c r="A144" i="10"/>
  <c r="G74" i="7"/>
  <c r="F74" i="5"/>
  <c r="G74" i="5" s="1"/>
  <c r="H74" i="5" s="1"/>
  <c r="I74" i="5" s="1"/>
  <c r="C74" i="4"/>
  <c r="E74" i="4" s="1"/>
  <c r="E74" i="3"/>
  <c r="AF74" i="2"/>
  <c r="V74" i="2"/>
  <c r="M74" i="4" s="1"/>
  <c r="B144" i="10"/>
  <c r="F74" i="7"/>
  <c r="J74" i="4"/>
  <c r="F74" i="4"/>
  <c r="I74" i="4"/>
  <c r="H74" i="4"/>
  <c r="G74" i="4"/>
  <c r="R74" i="2"/>
  <c r="S74" i="2" s="1"/>
  <c r="A146" i="10"/>
  <c r="F76" i="5"/>
  <c r="G76" i="5" s="1"/>
  <c r="H76" i="5" s="1"/>
  <c r="I76" i="5" s="1"/>
  <c r="G76" i="7"/>
  <c r="C76" i="4"/>
  <c r="E76" i="4" s="1"/>
  <c r="E76" i="3"/>
  <c r="AF76" i="2"/>
  <c r="V76" i="2"/>
  <c r="M76" i="4" s="1"/>
  <c r="B146" i="10"/>
  <c r="F76" i="7"/>
  <c r="H76" i="4"/>
  <c r="G76" i="4"/>
  <c r="F76" i="4"/>
  <c r="J76" i="4"/>
  <c r="I76" i="4"/>
  <c r="R76" i="2"/>
  <c r="S76" i="2" s="1"/>
  <c r="A148" i="10"/>
  <c r="G78" i="7"/>
  <c r="F78" i="5"/>
  <c r="G78" i="5" s="1"/>
  <c r="H78" i="5" s="1"/>
  <c r="I78" i="5" s="1"/>
  <c r="C78" i="4"/>
  <c r="E78" i="4" s="1"/>
  <c r="E78" i="3"/>
  <c r="AF78" i="2"/>
  <c r="V78" i="2"/>
  <c r="M78" i="4" s="1"/>
  <c r="B148" i="10"/>
  <c r="F78" i="7"/>
  <c r="J78" i="4"/>
  <c r="F78" i="4"/>
  <c r="I78" i="4"/>
  <c r="H78" i="4"/>
  <c r="G78" i="4"/>
  <c r="R78" i="2"/>
  <c r="S78" i="2" s="1"/>
  <c r="A150" i="10"/>
  <c r="F80" i="5"/>
  <c r="G80" i="5" s="1"/>
  <c r="H80" i="5" s="1"/>
  <c r="I80" i="5" s="1"/>
  <c r="G80" i="7"/>
  <c r="C80" i="4"/>
  <c r="E80" i="4" s="1"/>
  <c r="E80" i="3"/>
  <c r="AF80" i="2"/>
  <c r="V80" i="2"/>
  <c r="M80" i="4" s="1"/>
  <c r="B150" i="10"/>
  <c r="F80" i="7"/>
  <c r="H80" i="4"/>
  <c r="G80" i="4"/>
  <c r="J80" i="4"/>
  <c r="I80" i="4"/>
  <c r="F80" i="4"/>
  <c r="R80" i="2"/>
  <c r="S80" i="2" s="1"/>
  <c r="A152" i="10"/>
  <c r="G82" i="7"/>
  <c r="E82" i="3"/>
  <c r="C82" i="4"/>
  <c r="E82" i="4" s="1"/>
  <c r="F82" i="5"/>
  <c r="G82" i="5" s="1"/>
  <c r="H82" i="5" s="1"/>
  <c r="I82" i="5" s="1"/>
  <c r="AF82" i="2"/>
  <c r="V82" i="2"/>
  <c r="M82" i="4" s="1"/>
  <c r="B152" i="10"/>
  <c r="F82" i="7"/>
  <c r="J82" i="4"/>
  <c r="F82" i="4"/>
  <c r="I82" i="4"/>
  <c r="H82" i="4"/>
  <c r="G82" i="4"/>
  <c r="R82" i="2"/>
  <c r="S82" i="2" s="1"/>
  <c r="A154" i="10"/>
  <c r="F84" i="5"/>
  <c r="G84" i="5" s="1"/>
  <c r="H84" i="5" s="1"/>
  <c r="I84" i="5" s="1"/>
  <c r="G84" i="7"/>
  <c r="C84" i="4"/>
  <c r="E84" i="4" s="1"/>
  <c r="E84" i="3"/>
  <c r="AF84" i="2"/>
  <c r="V84" i="2"/>
  <c r="M84" i="4" s="1"/>
  <c r="B154" i="10"/>
  <c r="F84" i="7"/>
  <c r="H84" i="4"/>
  <c r="G84" i="4"/>
  <c r="F84" i="4"/>
  <c r="J84" i="4"/>
  <c r="I84" i="4"/>
  <c r="R84" i="2"/>
  <c r="S84" i="2" s="1"/>
  <c r="A156" i="10"/>
  <c r="G86" i="7"/>
  <c r="F86" i="5"/>
  <c r="G86" i="5" s="1"/>
  <c r="H86" i="5" s="1"/>
  <c r="I86" i="5" s="1"/>
  <c r="C86" i="4"/>
  <c r="E86" i="4" s="1"/>
  <c r="E86" i="3"/>
  <c r="AF86" i="2"/>
  <c r="V86" i="2"/>
  <c r="M86" i="4" s="1"/>
  <c r="F86" i="7"/>
  <c r="B156" i="10"/>
  <c r="J86" i="4"/>
  <c r="F86" i="4"/>
  <c r="I86" i="4"/>
  <c r="H86" i="4"/>
  <c r="G86" i="4"/>
  <c r="R86" i="2"/>
  <c r="S86" i="2" s="1"/>
  <c r="A158" i="10"/>
  <c r="F88" i="5"/>
  <c r="G88" i="5" s="1"/>
  <c r="H88" i="5" s="1"/>
  <c r="I88" i="5" s="1"/>
  <c r="G88" i="7"/>
  <c r="C88" i="4"/>
  <c r="E88" i="4" s="1"/>
  <c r="E88" i="3"/>
  <c r="AF88" i="2"/>
  <c r="V88" i="2"/>
  <c r="M88" i="4" s="1"/>
  <c r="B158" i="10"/>
  <c r="F88" i="7"/>
  <c r="H88" i="4"/>
  <c r="G88" i="4"/>
  <c r="J88" i="4"/>
  <c r="I88" i="4"/>
  <c r="F88" i="4"/>
  <c r="R88" i="2"/>
  <c r="S88" i="2" s="1"/>
  <c r="A160" i="10"/>
  <c r="G90" i="7"/>
  <c r="F90" i="5"/>
  <c r="G90" i="5" s="1"/>
  <c r="H90" i="5" s="1"/>
  <c r="I90" i="5" s="1"/>
  <c r="C90" i="4"/>
  <c r="E90" i="4" s="1"/>
  <c r="E90" i="3"/>
  <c r="AF90" i="2"/>
  <c r="V90" i="2"/>
  <c r="M90" i="4" s="1"/>
  <c r="F90" i="7"/>
  <c r="B160" i="10"/>
  <c r="J90" i="4"/>
  <c r="F90" i="4"/>
  <c r="I90" i="4"/>
  <c r="H90" i="4"/>
  <c r="G90" i="4"/>
  <c r="R90" i="2"/>
  <c r="S90" i="2" s="1"/>
  <c r="A162" i="10"/>
  <c r="F92" i="5"/>
  <c r="G92" i="5" s="1"/>
  <c r="H92" i="5" s="1"/>
  <c r="I92" i="5" s="1"/>
  <c r="G92" i="7"/>
  <c r="C92" i="4"/>
  <c r="E92" i="4" s="1"/>
  <c r="E92" i="3"/>
  <c r="AF92" i="2"/>
  <c r="V92" i="2"/>
  <c r="M92" i="4" s="1"/>
  <c r="B162" i="10"/>
  <c r="F92" i="7"/>
  <c r="H92" i="4"/>
  <c r="G92" i="4"/>
  <c r="F92" i="4"/>
  <c r="J92" i="4"/>
  <c r="I92" i="4"/>
  <c r="R92" i="2"/>
  <c r="S92" i="2" s="1"/>
  <c r="A164" i="10"/>
  <c r="G94" i="7"/>
  <c r="C94" i="4"/>
  <c r="E94" i="4" s="1"/>
  <c r="F94" i="5"/>
  <c r="G94" i="5" s="1"/>
  <c r="H94" i="5" s="1"/>
  <c r="I94" i="5" s="1"/>
  <c r="E94" i="3"/>
  <c r="AF94" i="2"/>
  <c r="V94" i="2"/>
  <c r="M94" i="4" s="1"/>
  <c r="B164" i="10"/>
  <c r="F94" i="7"/>
  <c r="J94" i="4"/>
  <c r="F94" i="4"/>
  <c r="I94" i="4"/>
  <c r="H94" i="4"/>
  <c r="G94" i="4"/>
  <c r="R94" i="2"/>
  <c r="S94" i="2" s="1"/>
  <c r="A166" i="10"/>
  <c r="G96" i="7"/>
  <c r="F96" i="5"/>
  <c r="G96" i="5" s="1"/>
  <c r="H96" i="5" s="1"/>
  <c r="I96" i="5" s="1"/>
  <c r="C96" i="4"/>
  <c r="E96" i="4" s="1"/>
  <c r="E96" i="3"/>
  <c r="AF96" i="2"/>
  <c r="V96" i="2"/>
  <c r="M96" i="4" s="1"/>
  <c r="B166" i="10"/>
  <c r="F96" i="7"/>
  <c r="H96" i="4"/>
  <c r="G96" i="4"/>
  <c r="J96" i="4"/>
  <c r="I96" i="4"/>
  <c r="F96" i="4"/>
  <c r="R96" i="2"/>
  <c r="S96" i="2" s="1"/>
  <c r="A168" i="10"/>
  <c r="G98" i="7"/>
  <c r="F98" i="5"/>
  <c r="G98" i="5" s="1"/>
  <c r="H98" i="5" s="1"/>
  <c r="I98" i="5" s="1"/>
  <c r="E98" i="3"/>
  <c r="C98" i="4"/>
  <c r="E98" i="4" s="1"/>
  <c r="AF98" i="2"/>
  <c r="V98" i="2"/>
  <c r="M98" i="4" s="1"/>
  <c r="F98" i="7"/>
  <c r="B168" i="10"/>
  <c r="J98" i="4"/>
  <c r="F98" i="4"/>
  <c r="I98" i="4"/>
  <c r="H98" i="4"/>
  <c r="G98" i="4"/>
  <c r="R98" i="2"/>
  <c r="S98" i="2" s="1"/>
  <c r="A170" i="10"/>
  <c r="F100" i="5"/>
  <c r="G100" i="5" s="1"/>
  <c r="H100" i="5" s="1"/>
  <c r="I100" i="5" s="1"/>
  <c r="G100" i="7"/>
  <c r="C100" i="4"/>
  <c r="E100" i="4" s="1"/>
  <c r="E100" i="3"/>
  <c r="AF100" i="2"/>
  <c r="V100" i="2"/>
  <c r="M100" i="4" s="1"/>
  <c r="B170" i="10"/>
  <c r="F100" i="7"/>
  <c r="H100" i="4"/>
  <c r="G100" i="4"/>
  <c r="F100" i="4"/>
  <c r="J100" i="4"/>
  <c r="I100" i="4"/>
  <c r="R100" i="2"/>
  <c r="S100" i="2" s="1"/>
  <c r="A172" i="10"/>
  <c r="G102" i="7"/>
  <c r="F102" i="5"/>
  <c r="G102" i="5" s="1"/>
  <c r="H102" i="5" s="1"/>
  <c r="I102" i="5" s="1"/>
  <c r="C102" i="4"/>
  <c r="E102" i="4" s="1"/>
  <c r="E102" i="3"/>
  <c r="AF102" i="2"/>
  <c r="V102" i="2"/>
  <c r="M102" i="4" s="1"/>
  <c r="F102" i="7"/>
  <c r="B172" i="10"/>
  <c r="J102" i="4"/>
  <c r="F102" i="4"/>
  <c r="I102" i="4"/>
  <c r="H102" i="4"/>
  <c r="G102" i="4"/>
  <c r="R102" i="2"/>
  <c r="S102" i="2" s="1"/>
  <c r="A174" i="10"/>
  <c r="F104" i="5"/>
  <c r="G104" i="5" s="1"/>
  <c r="H104" i="5" s="1"/>
  <c r="I104" i="5" s="1"/>
  <c r="G104" i="7"/>
  <c r="C104" i="4"/>
  <c r="E104" i="4" s="1"/>
  <c r="E104" i="3"/>
  <c r="AF104" i="2"/>
  <c r="V104" i="2"/>
  <c r="M104" i="4" s="1"/>
  <c r="B174" i="10"/>
  <c r="F104" i="7"/>
  <c r="H104" i="4"/>
  <c r="G104" i="4"/>
  <c r="J104" i="4"/>
  <c r="I104" i="4"/>
  <c r="F104" i="4"/>
  <c r="R104" i="2"/>
  <c r="S104" i="2" s="1"/>
  <c r="A176" i="10"/>
  <c r="G106" i="7"/>
  <c r="F106" i="5"/>
  <c r="G106" i="5" s="1"/>
  <c r="H106" i="5" s="1"/>
  <c r="I106" i="5" s="1"/>
  <c r="C106" i="4"/>
  <c r="E106" i="4" s="1"/>
  <c r="E106" i="3"/>
  <c r="AF106" i="2"/>
  <c r="V106" i="2"/>
  <c r="M106" i="4" s="1"/>
  <c r="B176" i="10"/>
  <c r="F106" i="7"/>
  <c r="J106" i="4"/>
  <c r="F106" i="4"/>
  <c r="I106" i="4"/>
  <c r="H106" i="4"/>
  <c r="G106" i="4"/>
  <c r="R106" i="2"/>
  <c r="S106" i="2" s="1"/>
  <c r="A178" i="10"/>
  <c r="G108" i="7"/>
  <c r="F108" i="5"/>
  <c r="G108" i="5" s="1"/>
  <c r="H108" i="5" s="1"/>
  <c r="I108" i="5" s="1"/>
  <c r="C108" i="4"/>
  <c r="E108" i="4" s="1"/>
  <c r="E108" i="3"/>
  <c r="AF108" i="2"/>
  <c r="V108" i="2"/>
  <c r="M108" i="4" s="1"/>
  <c r="B178" i="10"/>
  <c r="F108" i="7"/>
  <c r="H108" i="4"/>
  <c r="G108" i="4"/>
  <c r="F108" i="4"/>
  <c r="J108" i="4"/>
  <c r="I108" i="4"/>
  <c r="R108" i="2"/>
  <c r="S108" i="2" s="1"/>
  <c r="A180" i="10"/>
  <c r="G110" i="7"/>
  <c r="F110" i="5"/>
  <c r="G110" i="5" s="1"/>
  <c r="H110" i="5" s="1"/>
  <c r="I110" i="5" s="1"/>
  <c r="C110" i="4"/>
  <c r="E110" i="4" s="1"/>
  <c r="E110" i="3"/>
  <c r="AF110" i="2"/>
  <c r="V110" i="2"/>
  <c r="M110" i="4" s="1"/>
  <c r="B180" i="10"/>
  <c r="F110" i="7"/>
  <c r="J110" i="4"/>
  <c r="F110" i="4"/>
  <c r="I110" i="4"/>
  <c r="H110" i="4"/>
  <c r="G110" i="4"/>
  <c r="R110" i="2"/>
  <c r="S110" i="2" s="1"/>
  <c r="A182" i="10"/>
  <c r="G112" i="7"/>
  <c r="F112" i="5"/>
  <c r="G112" i="5" s="1"/>
  <c r="H112" i="5" s="1"/>
  <c r="I112" i="5" s="1"/>
  <c r="C112" i="4"/>
  <c r="E112" i="4" s="1"/>
  <c r="E112" i="3"/>
  <c r="AF112" i="2"/>
  <c r="V112" i="2"/>
  <c r="M112" i="4" s="1"/>
  <c r="B182" i="10"/>
  <c r="F112" i="7"/>
  <c r="H112" i="4"/>
  <c r="G112" i="4"/>
  <c r="J112" i="4"/>
  <c r="I112" i="4"/>
  <c r="F112" i="4"/>
  <c r="R112" i="2"/>
  <c r="S112" i="2" s="1"/>
  <c r="A184" i="10"/>
  <c r="G114" i="7"/>
  <c r="F114" i="5"/>
  <c r="G114" i="5" s="1"/>
  <c r="H114" i="5" s="1"/>
  <c r="I114" i="5" s="1"/>
  <c r="E114" i="3"/>
  <c r="C114" i="4"/>
  <c r="E114" i="4" s="1"/>
  <c r="AF114" i="2"/>
  <c r="V114" i="2"/>
  <c r="M114" i="4" s="1"/>
  <c r="B184" i="10"/>
  <c r="F114" i="7"/>
  <c r="J114" i="4"/>
  <c r="F114" i="4"/>
  <c r="I114" i="4"/>
  <c r="H114" i="4"/>
  <c r="G114" i="4"/>
  <c r="R114" i="2"/>
  <c r="S114" i="2" s="1"/>
  <c r="A186" i="10"/>
  <c r="G116" i="7"/>
  <c r="F116" i="5"/>
  <c r="G116" i="5" s="1"/>
  <c r="H116" i="5" s="1"/>
  <c r="I116" i="5" s="1"/>
  <c r="C116" i="4"/>
  <c r="E116" i="4" s="1"/>
  <c r="E116" i="3"/>
  <c r="AF116" i="2"/>
  <c r="V116" i="2"/>
  <c r="M116" i="4" s="1"/>
  <c r="B186" i="10"/>
  <c r="F116" i="7"/>
  <c r="H116" i="4"/>
  <c r="G116" i="4"/>
  <c r="F116" i="4"/>
  <c r="J116" i="4"/>
  <c r="I116" i="4"/>
  <c r="R116" i="2"/>
  <c r="S116" i="2" s="1"/>
  <c r="A188" i="10"/>
  <c r="G118" i="7"/>
  <c r="F118" i="5"/>
  <c r="G118" i="5" s="1"/>
  <c r="H118" i="5" s="1"/>
  <c r="I118" i="5" s="1"/>
  <c r="C118" i="4"/>
  <c r="E118" i="4" s="1"/>
  <c r="E118" i="3"/>
  <c r="AF118" i="2"/>
  <c r="V118" i="2"/>
  <c r="M118" i="4" s="1"/>
  <c r="F118" i="7"/>
  <c r="B188" i="10"/>
  <c r="J118" i="4"/>
  <c r="F118" i="4"/>
  <c r="I118" i="4"/>
  <c r="H118" i="4"/>
  <c r="G118" i="4"/>
  <c r="R118" i="2"/>
  <c r="S118" i="2" s="1"/>
  <c r="A190" i="10"/>
  <c r="F120" i="5"/>
  <c r="G120" i="5" s="1"/>
  <c r="H120" i="5" s="1"/>
  <c r="I120" i="5" s="1"/>
  <c r="G120" i="7"/>
  <c r="C120" i="4"/>
  <c r="E120" i="4" s="1"/>
  <c r="E120" i="3"/>
  <c r="AF120" i="2"/>
  <c r="V120" i="2"/>
  <c r="M120" i="4" s="1"/>
  <c r="B190" i="10"/>
  <c r="F120" i="7"/>
  <c r="H120" i="4"/>
  <c r="G120" i="4"/>
  <c r="J120" i="4"/>
  <c r="I120" i="4"/>
  <c r="F120" i="4"/>
  <c r="R120" i="2"/>
  <c r="S120" i="2" s="1"/>
  <c r="A192" i="10"/>
  <c r="G122" i="7"/>
  <c r="F122" i="5"/>
  <c r="G122" i="5" s="1"/>
  <c r="H122" i="5" s="1"/>
  <c r="I122" i="5" s="1"/>
  <c r="E122" i="3"/>
  <c r="C122" i="4"/>
  <c r="E122" i="4" s="1"/>
  <c r="AF122" i="2"/>
  <c r="V122" i="2"/>
  <c r="M122" i="4" s="1"/>
  <c r="F122" i="7"/>
  <c r="B192" i="10"/>
  <c r="J122" i="4"/>
  <c r="F122" i="4"/>
  <c r="I122" i="4"/>
  <c r="H122" i="4"/>
  <c r="G122" i="4"/>
  <c r="R122" i="2"/>
  <c r="S122" i="2" s="1"/>
  <c r="A194" i="10"/>
  <c r="G124" i="7"/>
  <c r="F124" i="5"/>
  <c r="G124" i="5" s="1"/>
  <c r="H124" i="5" s="1"/>
  <c r="I124" i="5" s="1"/>
  <c r="C124" i="4"/>
  <c r="E124" i="4" s="1"/>
  <c r="E124" i="3"/>
  <c r="AF124" i="2"/>
  <c r="V124" i="2"/>
  <c r="M124" i="4" s="1"/>
  <c r="B194" i="10"/>
  <c r="F124" i="7"/>
  <c r="H124" i="4"/>
  <c r="G124" i="4"/>
  <c r="F124" i="4"/>
  <c r="J124" i="4"/>
  <c r="I124" i="4"/>
  <c r="R124" i="2"/>
  <c r="S124" i="2" s="1"/>
  <c r="A196" i="10"/>
  <c r="G126" i="7"/>
  <c r="F126" i="5"/>
  <c r="G126" i="5" s="1"/>
  <c r="H126" i="5" s="1"/>
  <c r="I126" i="5" s="1"/>
  <c r="C126" i="4"/>
  <c r="E126" i="4" s="1"/>
  <c r="E126" i="3"/>
  <c r="AF126" i="2"/>
  <c r="V126" i="2"/>
  <c r="M126" i="4" s="1"/>
  <c r="B196" i="10"/>
  <c r="F126" i="7"/>
  <c r="J126" i="4"/>
  <c r="F126" i="4"/>
  <c r="I126" i="4"/>
  <c r="H126" i="4"/>
  <c r="G126" i="4"/>
  <c r="R126" i="2"/>
  <c r="S126" i="2" s="1"/>
  <c r="A198" i="10"/>
  <c r="G128" i="7"/>
  <c r="F128" i="5"/>
  <c r="G128" i="5" s="1"/>
  <c r="H128" i="5" s="1"/>
  <c r="I128" i="5" s="1"/>
  <c r="C128" i="4"/>
  <c r="E128" i="4" s="1"/>
  <c r="E128" i="3"/>
  <c r="AF128" i="2"/>
  <c r="V128" i="2"/>
  <c r="M128" i="4" s="1"/>
  <c r="B198" i="10"/>
  <c r="F128" i="7"/>
  <c r="H128" i="4"/>
  <c r="G128" i="4"/>
  <c r="J128" i="4"/>
  <c r="I128" i="4"/>
  <c r="F128" i="4"/>
  <c r="R128" i="2"/>
  <c r="S128" i="2" s="1"/>
  <c r="W130" i="2"/>
  <c r="D130" i="4"/>
  <c r="A200" i="10"/>
  <c r="G130" i="7"/>
  <c r="F130" i="5"/>
  <c r="G130" i="5" s="1"/>
  <c r="H130" i="5" s="1"/>
  <c r="I130" i="5" s="1"/>
  <c r="E130" i="3"/>
  <c r="C130" i="4"/>
  <c r="E130" i="4" s="1"/>
  <c r="AF130" i="2"/>
  <c r="V130" i="2"/>
  <c r="M130" i="4" s="1"/>
  <c r="F130" i="7"/>
  <c r="B200" i="10"/>
  <c r="J130" i="4"/>
  <c r="F130" i="4"/>
  <c r="I130" i="4"/>
  <c r="H130" i="4"/>
  <c r="G130" i="4"/>
  <c r="R130" i="2"/>
  <c r="S130" i="2" s="1"/>
  <c r="D136" i="4"/>
  <c r="W136" i="2"/>
  <c r="A206" i="10"/>
  <c r="G136" i="7"/>
  <c r="F136" i="5"/>
  <c r="G136" i="5" s="1"/>
  <c r="H136" i="5" s="1"/>
  <c r="I136" i="5" s="1"/>
  <c r="C136" i="4"/>
  <c r="E136" i="4" s="1"/>
  <c r="E136" i="3"/>
  <c r="AF136" i="2"/>
  <c r="V136" i="2"/>
  <c r="M136" i="4" s="1"/>
  <c r="B206" i="10"/>
  <c r="F136" i="7"/>
  <c r="H136" i="4"/>
  <c r="G136" i="4"/>
  <c r="J136" i="4"/>
  <c r="I136" i="4"/>
  <c r="F136" i="4"/>
  <c r="R136" i="2"/>
  <c r="S136" i="2" s="1"/>
  <c r="D144" i="4"/>
  <c r="W144" i="2"/>
  <c r="A214" i="10"/>
  <c r="G144" i="7"/>
  <c r="F144" i="5"/>
  <c r="G144" i="5" s="1"/>
  <c r="H144" i="5" s="1"/>
  <c r="I144" i="5" s="1"/>
  <c r="C144" i="4"/>
  <c r="E144" i="4" s="1"/>
  <c r="E144" i="3"/>
  <c r="AF144" i="2"/>
  <c r="V144" i="2"/>
  <c r="M144" i="4" s="1"/>
  <c r="B214" i="10"/>
  <c r="F144" i="7"/>
  <c r="H144" i="4"/>
  <c r="J144" i="4"/>
  <c r="I144" i="4"/>
  <c r="G144" i="4"/>
  <c r="F144" i="4"/>
  <c r="R144" i="2"/>
  <c r="S144" i="2" s="1"/>
  <c r="D152" i="4"/>
  <c r="W152" i="2"/>
  <c r="G152" i="7"/>
  <c r="A222" i="10"/>
  <c r="F152" i="5"/>
  <c r="G152" i="5" s="1"/>
  <c r="H152" i="5" s="1"/>
  <c r="I152" i="5" s="1"/>
  <c r="C152" i="4"/>
  <c r="E152" i="4" s="1"/>
  <c r="E152" i="3"/>
  <c r="AF152" i="2"/>
  <c r="V152" i="2"/>
  <c r="M152" i="4" s="1"/>
  <c r="B222" i="10"/>
  <c r="F152" i="7"/>
  <c r="H152" i="4"/>
  <c r="G152" i="4"/>
  <c r="F152" i="4"/>
  <c r="J152" i="4"/>
  <c r="I152" i="4"/>
  <c r="R152" i="2"/>
  <c r="S152" i="2" s="1"/>
  <c r="F6" i="8"/>
  <c r="F5" i="8"/>
  <c r="F7" i="8"/>
  <c r="M25" i="10"/>
  <c r="C8" i="7"/>
  <c r="D8" i="7" s="1"/>
  <c r="M29" i="10"/>
  <c r="C12" i="7"/>
  <c r="D12" i="7" s="1"/>
  <c r="AD5" i="2"/>
  <c r="H77" i="10"/>
  <c r="B7" i="7"/>
  <c r="B7" i="5"/>
  <c r="B7" i="4"/>
  <c r="B7" i="3"/>
  <c r="D10" i="5"/>
  <c r="I10" i="6"/>
  <c r="D10" i="3"/>
  <c r="D14" i="5"/>
  <c r="D14" i="3"/>
  <c r="T14" i="2"/>
  <c r="G14" i="3" s="1"/>
  <c r="V15" i="2"/>
  <c r="M15" i="4" s="1"/>
  <c r="V17" i="2"/>
  <c r="M17" i="4" s="1"/>
  <c r="H89" i="10"/>
  <c r="B19" i="7"/>
  <c r="B19" i="5"/>
  <c r="B19" i="4"/>
  <c r="B19" i="3"/>
  <c r="H91" i="10"/>
  <c r="B21" i="7"/>
  <c r="B21" i="5"/>
  <c r="B21" i="4"/>
  <c r="B21" i="3"/>
  <c r="H93" i="10"/>
  <c r="B23" i="7"/>
  <c r="B23" i="5"/>
  <c r="B23" i="4"/>
  <c r="B23" i="3"/>
  <c r="D26" i="5"/>
  <c r="D26" i="3"/>
  <c r="M43" i="10"/>
  <c r="C26" i="7"/>
  <c r="D26" i="7" s="1"/>
  <c r="W29" i="2"/>
  <c r="F31" i="7"/>
  <c r="I31" i="4"/>
  <c r="H31" i="4"/>
  <c r="G31" i="4"/>
  <c r="F31" i="4"/>
  <c r="J31" i="4"/>
  <c r="A32" i="7"/>
  <c r="A32" i="5"/>
  <c r="A32" i="4"/>
  <c r="A32" i="3"/>
  <c r="C33" i="5"/>
  <c r="C33" i="3"/>
  <c r="T33" i="2"/>
  <c r="G33" i="3" s="1"/>
  <c r="W33" i="2"/>
  <c r="B105" i="10"/>
  <c r="F35" i="7"/>
  <c r="I35" i="4"/>
  <c r="H35" i="4"/>
  <c r="J35" i="4"/>
  <c r="G35" i="4"/>
  <c r="F35" i="4"/>
  <c r="A36" i="7"/>
  <c r="A36" i="5"/>
  <c r="A36" i="4"/>
  <c r="A36" i="3"/>
  <c r="C37" i="5"/>
  <c r="C37" i="3"/>
  <c r="T37" i="2"/>
  <c r="G37" i="3" s="1"/>
  <c r="W37" i="2"/>
  <c r="B109" i="10"/>
  <c r="F39" i="7"/>
  <c r="I39" i="4"/>
  <c r="H39" i="4"/>
  <c r="G39" i="4"/>
  <c r="F39" i="4"/>
  <c r="J39" i="4"/>
  <c r="M56" i="10"/>
  <c r="C39" i="7"/>
  <c r="D39" i="7" s="1"/>
  <c r="A40" i="7"/>
  <c r="A40" i="4"/>
  <c r="A40" i="5"/>
  <c r="A40" i="3"/>
  <c r="C41" i="5"/>
  <c r="C41" i="3"/>
  <c r="T41" i="2"/>
  <c r="G41" i="3" s="1"/>
  <c r="W41" i="2"/>
  <c r="B113" i="10"/>
  <c r="F43" i="7"/>
  <c r="I43" i="4"/>
  <c r="H43" i="4"/>
  <c r="J43" i="4"/>
  <c r="G43" i="4"/>
  <c r="F43" i="4"/>
  <c r="M60" i="10"/>
  <c r="C43" i="7"/>
  <c r="D43" i="7" s="1"/>
  <c r="A44" i="5"/>
  <c r="A44" i="7"/>
  <c r="A44" i="3"/>
  <c r="A44" i="4"/>
  <c r="A46" i="7"/>
  <c r="A46" i="4"/>
  <c r="A46" i="5"/>
  <c r="A46" i="3"/>
  <c r="D134" i="4"/>
  <c r="W134" i="2"/>
  <c r="A204" i="10"/>
  <c r="F134" i="5"/>
  <c r="G134" i="5" s="1"/>
  <c r="H134" i="5" s="1"/>
  <c r="I134" i="5" s="1"/>
  <c r="C134" i="4"/>
  <c r="E134" i="4" s="1"/>
  <c r="E134" i="3"/>
  <c r="G134" i="7"/>
  <c r="AF134" i="2"/>
  <c r="V134" i="2"/>
  <c r="M134" i="4" s="1"/>
  <c r="F134" i="7"/>
  <c r="B204" i="10"/>
  <c r="J134" i="4"/>
  <c r="F134" i="4"/>
  <c r="I134" i="4"/>
  <c r="H134" i="4"/>
  <c r="G134" i="4"/>
  <c r="R134" i="2"/>
  <c r="S134" i="2" s="1"/>
  <c r="D142" i="4"/>
  <c r="W142" i="2"/>
  <c r="A212" i="10"/>
  <c r="G142" i="7"/>
  <c r="F142" i="5"/>
  <c r="G142" i="5" s="1"/>
  <c r="H142" i="5" s="1"/>
  <c r="I142" i="5" s="1"/>
  <c r="C142" i="4"/>
  <c r="E142" i="4" s="1"/>
  <c r="E142" i="3"/>
  <c r="AF142" i="2"/>
  <c r="V142" i="2"/>
  <c r="M142" i="4" s="1"/>
  <c r="B212" i="10"/>
  <c r="F142" i="7"/>
  <c r="J142" i="4"/>
  <c r="F142" i="4"/>
  <c r="I142" i="4"/>
  <c r="H142" i="4"/>
  <c r="G142" i="4"/>
  <c r="R142" i="2"/>
  <c r="S142" i="2" s="1"/>
  <c r="W150" i="2"/>
  <c r="D150" i="4"/>
  <c r="A220" i="10"/>
  <c r="G150" i="7"/>
  <c r="F150" i="5"/>
  <c r="G150" i="5" s="1"/>
  <c r="H150" i="5" s="1"/>
  <c r="I150" i="5" s="1"/>
  <c r="E150" i="3"/>
  <c r="C150" i="4"/>
  <c r="E150" i="4" s="1"/>
  <c r="AF150" i="2"/>
  <c r="V150" i="2"/>
  <c r="M150" i="4" s="1"/>
  <c r="F150" i="7"/>
  <c r="B220" i="10"/>
  <c r="J150" i="4"/>
  <c r="F150" i="4"/>
  <c r="G150" i="4"/>
  <c r="I150" i="4"/>
  <c r="H150" i="4"/>
  <c r="R150" i="2"/>
  <c r="S150" i="2" s="1"/>
  <c r="H96" i="10"/>
  <c r="B26" i="7"/>
  <c r="B26" i="4"/>
  <c r="B26" i="3"/>
  <c r="B26" i="5"/>
  <c r="D27" i="5"/>
  <c r="D27" i="3"/>
  <c r="H98" i="10"/>
  <c r="B28" i="5"/>
  <c r="B28" i="7"/>
  <c r="B28" i="4"/>
  <c r="B28" i="3"/>
  <c r="D29" i="5"/>
  <c r="D29" i="3"/>
  <c r="H100" i="10"/>
  <c r="B30" i="7"/>
  <c r="B30" i="5"/>
  <c r="B30" i="4"/>
  <c r="B30" i="3"/>
  <c r="D31" i="5"/>
  <c r="D31" i="3"/>
  <c r="H102" i="10"/>
  <c r="B32" i="5"/>
  <c r="B32" i="4"/>
  <c r="B32" i="7"/>
  <c r="B32" i="3"/>
  <c r="D33" i="5"/>
  <c r="D33" i="3"/>
  <c r="B34" i="7"/>
  <c r="B34" i="4"/>
  <c r="B34" i="3"/>
  <c r="B34" i="5"/>
  <c r="D35" i="5"/>
  <c r="D35" i="3"/>
  <c r="B36" i="5"/>
  <c r="B36" i="7"/>
  <c r="B36" i="4"/>
  <c r="B36" i="3"/>
  <c r="D37" i="5"/>
  <c r="D37" i="3"/>
  <c r="H108" i="10"/>
  <c r="B38" i="7"/>
  <c r="B38" i="4"/>
  <c r="B38" i="5"/>
  <c r="B38" i="3"/>
  <c r="D39" i="5"/>
  <c r="D39" i="3"/>
  <c r="H110" i="10"/>
  <c r="B40" i="5"/>
  <c r="B40" i="7"/>
  <c r="B40" i="4"/>
  <c r="B40" i="3"/>
  <c r="D41" i="5"/>
  <c r="D41" i="3"/>
  <c r="H112" i="10"/>
  <c r="B42" i="7"/>
  <c r="B42" i="5"/>
  <c r="B42" i="4"/>
  <c r="B42" i="3"/>
  <c r="D43" i="5"/>
  <c r="D43" i="3"/>
  <c r="H114" i="10"/>
  <c r="B44" i="5"/>
  <c r="B44" i="7"/>
  <c r="B44" i="4"/>
  <c r="B44" i="3"/>
  <c r="D45" i="5"/>
  <c r="D45" i="3"/>
  <c r="H116" i="10"/>
  <c r="B46" i="7"/>
  <c r="B46" i="5"/>
  <c r="B46" i="4"/>
  <c r="B46" i="3"/>
  <c r="D47" i="5"/>
  <c r="D47" i="3"/>
  <c r="B48" i="5"/>
  <c r="H118" i="10"/>
  <c r="B48" i="7"/>
  <c r="B48" i="4"/>
  <c r="B48" i="3"/>
  <c r="AD48" i="2"/>
  <c r="D49" i="5"/>
  <c r="D49" i="3"/>
  <c r="H120" i="10"/>
  <c r="B50" i="7"/>
  <c r="B50" i="5"/>
  <c r="B50" i="4"/>
  <c r="B50" i="3"/>
  <c r="AD50" i="2"/>
  <c r="D51" i="5"/>
  <c r="D51" i="3"/>
  <c r="H122" i="10"/>
  <c r="B52" i="5"/>
  <c r="B52" i="7"/>
  <c r="B52" i="4"/>
  <c r="B52" i="3"/>
  <c r="AD52" i="2"/>
  <c r="D53" i="5"/>
  <c r="D53" i="3"/>
  <c r="H124" i="10"/>
  <c r="B54" i="7"/>
  <c r="B54" i="4"/>
  <c r="B54" i="3"/>
  <c r="B54" i="5"/>
  <c r="AD54" i="2"/>
  <c r="D55" i="5"/>
  <c r="D55" i="3"/>
  <c r="H126" i="10"/>
  <c r="B56" i="5"/>
  <c r="B56" i="7"/>
  <c r="B56" i="4"/>
  <c r="B56" i="3"/>
  <c r="AD56" i="2"/>
  <c r="D57" i="5"/>
  <c r="D57" i="3"/>
  <c r="H128" i="10"/>
  <c r="B58" i="7"/>
  <c r="B58" i="5"/>
  <c r="B58" i="4"/>
  <c r="B58" i="3"/>
  <c r="AD58" i="2"/>
  <c r="D59" i="5"/>
  <c r="D59" i="3"/>
  <c r="H130" i="10"/>
  <c r="B60" i="5"/>
  <c r="B60" i="7"/>
  <c r="B60" i="4"/>
  <c r="B60" i="3"/>
  <c r="AD60" i="2"/>
  <c r="D61" i="5"/>
  <c r="D61" i="3"/>
  <c r="H132" i="10"/>
  <c r="B62" i="7"/>
  <c r="B62" i="5"/>
  <c r="B62" i="4"/>
  <c r="B62" i="3"/>
  <c r="AD62" i="2"/>
  <c r="D63" i="5"/>
  <c r="D63" i="3"/>
  <c r="H134" i="10"/>
  <c r="B64" i="5"/>
  <c r="B64" i="7"/>
  <c r="B64" i="4"/>
  <c r="B64" i="3"/>
  <c r="AD64" i="2"/>
  <c r="D65" i="5"/>
  <c r="D65" i="3"/>
  <c r="H136" i="10"/>
  <c r="B66" i="7"/>
  <c r="B66" i="4"/>
  <c r="B66" i="3"/>
  <c r="B66" i="5"/>
  <c r="AD66" i="2"/>
  <c r="D67" i="5"/>
  <c r="D67" i="3"/>
  <c r="H138" i="10"/>
  <c r="B68" i="5"/>
  <c r="B68" i="7"/>
  <c r="B68" i="4"/>
  <c r="B68" i="3"/>
  <c r="AD68" i="2"/>
  <c r="D69" i="5"/>
  <c r="D69" i="3"/>
  <c r="H140" i="10"/>
  <c r="B70" i="7"/>
  <c r="B70" i="4"/>
  <c r="B70" i="5"/>
  <c r="B70" i="3"/>
  <c r="AD70" i="2"/>
  <c r="D71" i="5"/>
  <c r="D71" i="3"/>
  <c r="H142" i="10"/>
  <c r="B72" i="5"/>
  <c r="B72" i="7"/>
  <c r="B72" i="4"/>
  <c r="B72" i="3"/>
  <c r="AD72" i="2"/>
  <c r="D73" i="5"/>
  <c r="D73" i="3"/>
  <c r="H144" i="10"/>
  <c r="B74" i="7"/>
  <c r="B74" i="5"/>
  <c r="B74" i="4"/>
  <c r="B74" i="3"/>
  <c r="AD74" i="2"/>
  <c r="D75" i="5"/>
  <c r="D75" i="3"/>
  <c r="H146" i="10"/>
  <c r="B76" i="5"/>
  <c r="B76" i="7"/>
  <c r="B76" i="4"/>
  <c r="B76" i="3"/>
  <c r="AD76" i="2"/>
  <c r="D77" i="5"/>
  <c r="D77" i="3"/>
  <c r="H148" i="10"/>
  <c r="B78" i="7"/>
  <c r="B78" i="5"/>
  <c r="B78" i="4"/>
  <c r="B78" i="3"/>
  <c r="AD78" i="2"/>
  <c r="D79" i="5"/>
  <c r="D79" i="3"/>
  <c r="H150" i="10"/>
  <c r="B80" i="5"/>
  <c r="B80" i="7"/>
  <c r="B80" i="4"/>
  <c r="B80" i="3"/>
  <c r="AD80" i="2"/>
  <c r="D81" i="5"/>
  <c r="D81" i="3"/>
  <c r="H152" i="10"/>
  <c r="B82" i="7"/>
  <c r="B82" i="5"/>
  <c r="B82" i="4"/>
  <c r="B82" i="3"/>
  <c r="AD82" i="2"/>
  <c r="D83" i="5"/>
  <c r="D83" i="3"/>
  <c r="H154" i="10"/>
  <c r="B84" i="5"/>
  <c r="B84" i="7"/>
  <c r="B84" i="4"/>
  <c r="B84" i="3"/>
  <c r="AD84" i="2"/>
  <c r="D85" i="5"/>
  <c r="D85" i="3"/>
  <c r="H156" i="10"/>
  <c r="B86" i="7"/>
  <c r="B86" i="4"/>
  <c r="B86" i="3"/>
  <c r="B86" i="5"/>
  <c r="AD86" i="2"/>
  <c r="D87" i="5"/>
  <c r="D87" i="3"/>
  <c r="B88" i="5"/>
  <c r="H158" i="10"/>
  <c r="B88" i="7"/>
  <c r="B88" i="4"/>
  <c r="B88" i="3"/>
  <c r="AD88" i="2"/>
  <c r="D89" i="5"/>
  <c r="D89" i="3"/>
  <c r="H160" i="10"/>
  <c r="B90" i="7"/>
  <c r="B90" i="5"/>
  <c r="B90" i="4"/>
  <c r="B90" i="3"/>
  <c r="AD90" i="2"/>
  <c r="D91" i="5"/>
  <c r="D91" i="3"/>
  <c r="H162" i="10"/>
  <c r="B92" i="5"/>
  <c r="B92" i="7"/>
  <c r="B92" i="4"/>
  <c r="B92" i="3"/>
  <c r="AD92" i="2"/>
  <c r="D93" i="5"/>
  <c r="D93" i="3"/>
  <c r="B94" i="7"/>
  <c r="H164" i="10"/>
  <c r="B94" i="5"/>
  <c r="B94" i="4"/>
  <c r="B94" i="3"/>
  <c r="AD94" i="2"/>
  <c r="D95" i="5"/>
  <c r="D95" i="3"/>
  <c r="H166" i="10"/>
  <c r="B96" i="7"/>
  <c r="B96" i="5"/>
  <c r="B96" i="4"/>
  <c r="B96" i="3"/>
  <c r="AD96" i="2"/>
  <c r="D97" i="5"/>
  <c r="D97" i="3"/>
  <c r="H168" i="10"/>
  <c r="B98" i="7"/>
  <c r="B98" i="4"/>
  <c r="B98" i="5"/>
  <c r="B98" i="3"/>
  <c r="AD98" i="2"/>
  <c r="D99" i="5"/>
  <c r="D99" i="3"/>
  <c r="H170" i="10"/>
  <c r="B100" i="7"/>
  <c r="B100" i="5"/>
  <c r="B100" i="4"/>
  <c r="B100" i="3"/>
  <c r="AD100" i="2"/>
  <c r="D101" i="5"/>
  <c r="D101" i="3"/>
  <c r="B102" i="7"/>
  <c r="H172" i="10"/>
  <c r="B102" i="4"/>
  <c r="B102" i="5"/>
  <c r="B102" i="3"/>
  <c r="AD102" i="2"/>
  <c r="D103" i="5"/>
  <c r="D103" i="3"/>
  <c r="H174" i="10"/>
  <c r="B104" i="5"/>
  <c r="B104" i="4"/>
  <c r="B104" i="7"/>
  <c r="B104" i="3"/>
  <c r="AD104" i="2"/>
  <c r="D105" i="5"/>
  <c r="D105" i="3"/>
  <c r="H176" i="10"/>
  <c r="B106" i="7"/>
  <c r="B106" i="5"/>
  <c r="B106" i="4"/>
  <c r="B106" i="3"/>
  <c r="AD106" i="2"/>
  <c r="D107" i="5"/>
  <c r="D107" i="3"/>
  <c r="H178" i="10"/>
  <c r="B108" i="7"/>
  <c r="B108" i="5"/>
  <c r="B108" i="4"/>
  <c r="B108" i="3"/>
  <c r="AD108" i="2"/>
  <c r="D109" i="5"/>
  <c r="D109" i="3"/>
  <c r="B110" i="7"/>
  <c r="H180" i="10"/>
  <c r="B110" i="5"/>
  <c r="B110" i="4"/>
  <c r="B110" i="3"/>
  <c r="AD110" i="2"/>
  <c r="D111" i="5"/>
  <c r="D111" i="3"/>
  <c r="H182" i="10"/>
  <c r="B112" i="7"/>
  <c r="B112" i="5"/>
  <c r="B112" i="4"/>
  <c r="B112" i="3"/>
  <c r="AD112" i="2"/>
  <c r="D113" i="5"/>
  <c r="D113" i="3"/>
  <c r="H184" i="10"/>
  <c r="B114" i="7"/>
  <c r="B114" i="5"/>
  <c r="B114" i="4"/>
  <c r="B114" i="3"/>
  <c r="AD114" i="2"/>
  <c r="D115" i="5"/>
  <c r="D115" i="3"/>
  <c r="H186" i="10"/>
  <c r="B116" i="5"/>
  <c r="B116" i="7"/>
  <c r="B116" i="4"/>
  <c r="B116" i="3"/>
  <c r="AD116" i="2"/>
  <c r="D117" i="5"/>
  <c r="D117" i="3"/>
  <c r="H188" i="10"/>
  <c r="B118" i="7"/>
  <c r="B118" i="4"/>
  <c r="B118" i="3"/>
  <c r="B118" i="5"/>
  <c r="AD118" i="2"/>
  <c r="D119" i="5"/>
  <c r="D119" i="3"/>
  <c r="H190" i="10"/>
  <c r="B120" i="5"/>
  <c r="B120" i="7"/>
  <c r="B120" i="4"/>
  <c r="B120" i="3"/>
  <c r="AD120" i="2"/>
  <c r="D121" i="5"/>
  <c r="D121" i="3"/>
  <c r="H192" i="10"/>
  <c r="B122" i="7"/>
  <c r="B122" i="5"/>
  <c r="B122" i="4"/>
  <c r="B122" i="3"/>
  <c r="AD122" i="2"/>
  <c r="D123" i="5"/>
  <c r="D123" i="3"/>
  <c r="H194" i="10"/>
  <c r="B124" i="7"/>
  <c r="B124" i="5"/>
  <c r="B124" i="4"/>
  <c r="B124" i="3"/>
  <c r="AD124" i="2"/>
  <c r="D125" i="3"/>
  <c r="D125" i="5"/>
  <c r="B126" i="7"/>
  <c r="H196" i="10"/>
  <c r="B126" i="5"/>
  <c r="B126" i="4"/>
  <c r="B126" i="3"/>
  <c r="AD126" i="2"/>
  <c r="D127" i="5"/>
  <c r="D127" i="3"/>
  <c r="H198" i="10"/>
  <c r="B128" i="7"/>
  <c r="B128" i="5"/>
  <c r="B128" i="4"/>
  <c r="B128" i="3"/>
  <c r="AD128" i="2"/>
  <c r="D129" i="5"/>
  <c r="D129" i="3"/>
  <c r="H200" i="10"/>
  <c r="B130" i="7"/>
  <c r="B130" i="4"/>
  <c r="B130" i="3"/>
  <c r="B130" i="5"/>
  <c r="C131" i="5"/>
  <c r="C131" i="3"/>
  <c r="T131" i="2"/>
  <c r="G131" i="3" s="1"/>
  <c r="H202" i="10"/>
  <c r="B132" i="7"/>
  <c r="B132" i="5"/>
  <c r="B132" i="4"/>
  <c r="B132" i="3"/>
  <c r="C133" i="5"/>
  <c r="C133" i="3"/>
  <c r="T133" i="2"/>
  <c r="G133" i="3" s="1"/>
  <c r="H204" i="10"/>
  <c r="B134" i="7"/>
  <c r="B134" i="4"/>
  <c r="B134" i="5"/>
  <c r="B134" i="3"/>
  <c r="C135" i="5"/>
  <c r="C135" i="3"/>
  <c r="T135" i="2"/>
  <c r="G135" i="3" s="1"/>
  <c r="H206" i="10"/>
  <c r="B136" i="7"/>
  <c r="B136" i="5"/>
  <c r="B136" i="4"/>
  <c r="B136" i="3"/>
  <c r="C137" i="5"/>
  <c r="C137" i="3"/>
  <c r="T137" i="2"/>
  <c r="G137" i="3" s="1"/>
  <c r="H208" i="10"/>
  <c r="B138" i="7"/>
  <c r="B138" i="5"/>
  <c r="B138" i="4"/>
  <c r="B138" i="3"/>
  <c r="C139" i="5"/>
  <c r="C139" i="3"/>
  <c r="T139" i="2"/>
  <c r="G139" i="3" s="1"/>
  <c r="H210" i="10"/>
  <c r="B140" i="7"/>
  <c r="B140" i="5"/>
  <c r="B140" i="4"/>
  <c r="B140" i="3"/>
  <c r="C141" i="5"/>
  <c r="C141" i="3"/>
  <c r="T141" i="2"/>
  <c r="G141" i="3" s="1"/>
  <c r="B142" i="7"/>
  <c r="H212" i="10"/>
  <c r="B142" i="5"/>
  <c r="B142" i="4"/>
  <c r="B142" i="3"/>
  <c r="C143" i="5"/>
  <c r="C143" i="3"/>
  <c r="T143" i="2"/>
  <c r="G143" i="3" s="1"/>
  <c r="H214" i="10"/>
  <c r="B144" i="5"/>
  <c r="B144" i="7"/>
  <c r="B144" i="4"/>
  <c r="B144" i="3"/>
  <c r="C145" i="5"/>
  <c r="C145" i="3"/>
  <c r="T145" i="2"/>
  <c r="G145" i="3" s="1"/>
  <c r="H216" i="10"/>
  <c r="B146" i="7"/>
  <c r="B146" i="4"/>
  <c r="B146" i="5"/>
  <c r="B146" i="3"/>
  <c r="C147" i="5"/>
  <c r="C147" i="3"/>
  <c r="T147" i="2"/>
  <c r="G147" i="3" s="1"/>
  <c r="H218" i="10"/>
  <c r="B148" i="5"/>
  <c r="B148" i="7"/>
  <c r="B148" i="4"/>
  <c r="B148" i="3"/>
  <c r="C149" i="5"/>
  <c r="C149" i="3"/>
  <c r="T149" i="2"/>
  <c r="G149" i="3" s="1"/>
  <c r="H220" i="10"/>
  <c r="B150" i="7"/>
  <c r="B150" i="4"/>
  <c r="B150" i="3"/>
  <c r="B150" i="5"/>
  <c r="C151" i="5"/>
  <c r="C151" i="3"/>
  <c r="T151" i="2"/>
  <c r="G151" i="3" s="1"/>
  <c r="H222" i="10"/>
  <c r="B152" i="5"/>
  <c r="B152" i="7"/>
  <c r="B152" i="4"/>
  <c r="B152" i="3"/>
  <c r="C153" i="5"/>
  <c r="C153" i="3"/>
  <c r="T153" i="2"/>
  <c r="G153" i="3" s="1"/>
  <c r="H224" i="10"/>
  <c r="B154" i="7"/>
  <c r="B154" i="4"/>
  <c r="B154" i="5"/>
  <c r="B154" i="3"/>
  <c r="M45" i="10"/>
  <c r="C28" i="7"/>
  <c r="D28" i="7" s="1"/>
  <c r="A29" i="5"/>
  <c r="A29" i="7"/>
  <c r="A29" i="4"/>
  <c r="A29" i="3"/>
  <c r="C30" i="5"/>
  <c r="C30" i="3"/>
  <c r="A31" i="7"/>
  <c r="A31" i="4"/>
  <c r="A31" i="5"/>
  <c r="A31" i="3"/>
  <c r="C32" i="5"/>
  <c r="C32" i="3"/>
  <c r="A33" i="5"/>
  <c r="A33" i="7"/>
  <c r="A33" i="3"/>
  <c r="A33" i="4"/>
  <c r="C34" i="5"/>
  <c r="C34" i="3"/>
  <c r="A35" i="7"/>
  <c r="A35" i="4"/>
  <c r="A35" i="5"/>
  <c r="A35" i="3"/>
  <c r="C36" i="5"/>
  <c r="C36" i="3"/>
  <c r="M53" i="10"/>
  <c r="C36" i="7"/>
  <c r="D36" i="7" s="1"/>
  <c r="A37" i="5"/>
  <c r="A37" i="7"/>
  <c r="A37" i="4"/>
  <c r="A37" i="3"/>
  <c r="C38" i="5"/>
  <c r="C38" i="3"/>
  <c r="M55" i="10"/>
  <c r="C38" i="7"/>
  <c r="D38" i="7" s="1"/>
  <c r="A39" i="7"/>
  <c r="A39" i="5"/>
  <c r="A39" i="4"/>
  <c r="A39" i="3"/>
  <c r="C40" i="5"/>
  <c r="C40" i="3"/>
  <c r="M57" i="10"/>
  <c r="C40" i="7"/>
  <c r="D40" i="7" s="1"/>
  <c r="A41" i="5"/>
  <c r="A41" i="7"/>
  <c r="A41" i="3"/>
  <c r="A41" i="4"/>
  <c r="C42" i="3"/>
  <c r="C42" i="5"/>
  <c r="M59" i="10"/>
  <c r="C42" i="7"/>
  <c r="D42" i="7" s="1"/>
  <c r="A43" i="7"/>
  <c r="A43" i="5"/>
  <c r="A43" i="4"/>
  <c r="A43" i="3"/>
  <c r="C44" i="5"/>
  <c r="C44" i="3"/>
  <c r="A45" i="5"/>
  <c r="A45" i="7"/>
  <c r="A45" i="4"/>
  <c r="A45" i="3"/>
  <c r="C46" i="5"/>
  <c r="C46" i="3"/>
  <c r="A47" i="7"/>
  <c r="A47" i="4"/>
  <c r="A47" i="3"/>
  <c r="A47" i="5"/>
  <c r="Y47" i="2"/>
  <c r="C48" i="5"/>
  <c r="C48" i="3"/>
  <c r="W48" i="2"/>
  <c r="A49" i="5"/>
  <c r="A49" i="7"/>
  <c r="A49" i="3"/>
  <c r="A49" i="4"/>
  <c r="Y49" i="2"/>
  <c r="C50" i="5"/>
  <c r="C50" i="3"/>
  <c r="W50" i="2"/>
  <c r="M67" i="10"/>
  <c r="C50" i="7"/>
  <c r="D50" i="7" s="1"/>
  <c r="A51" i="7"/>
  <c r="A51" i="5"/>
  <c r="A51" i="4"/>
  <c r="A51" i="3"/>
  <c r="Y51" i="2"/>
  <c r="C52" i="5"/>
  <c r="C52" i="3"/>
  <c r="W52" i="2"/>
  <c r="M69" i="10"/>
  <c r="C52" i="7"/>
  <c r="D52" i="7" s="1"/>
  <c r="A53" i="5"/>
  <c r="A53" i="7"/>
  <c r="A53" i="4"/>
  <c r="A53" i="3"/>
  <c r="Y53" i="2"/>
  <c r="C54" i="5"/>
  <c r="C54" i="3"/>
  <c r="W54" i="2"/>
  <c r="M71" i="10"/>
  <c r="C54" i="7"/>
  <c r="D54" i="7" s="1"/>
  <c r="A55" i="7"/>
  <c r="A55" i="5"/>
  <c r="A55" i="4"/>
  <c r="A55" i="3"/>
  <c r="Y55" i="2"/>
  <c r="C56" i="5"/>
  <c r="C56" i="3"/>
  <c r="W56" i="2"/>
  <c r="M73" i="10"/>
  <c r="C56" i="7"/>
  <c r="D56" i="7" s="1"/>
  <c r="A57" i="5"/>
  <c r="A57" i="7"/>
  <c r="A57" i="3"/>
  <c r="A57" i="4"/>
  <c r="Y57" i="2"/>
  <c r="C58" i="5"/>
  <c r="C58" i="3"/>
  <c r="W58" i="2"/>
  <c r="M75" i="10"/>
  <c r="C58" i="7"/>
  <c r="D58" i="7" s="1"/>
  <c r="A59" i="7"/>
  <c r="A59" i="4"/>
  <c r="A59" i="5"/>
  <c r="A59" i="3"/>
  <c r="Y59" i="2"/>
  <c r="C60" i="5"/>
  <c r="C60" i="3"/>
  <c r="W60" i="2"/>
  <c r="M77" i="10"/>
  <c r="C60" i="7"/>
  <c r="D60" i="7" s="1"/>
  <c r="A61" i="5"/>
  <c r="A61" i="7"/>
  <c r="A61" i="4"/>
  <c r="A61" i="3"/>
  <c r="Y61" i="2"/>
  <c r="C62" i="5"/>
  <c r="C62" i="3"/>
  <c r="W62" i="2"/>
  <c r="M79" i="10"/>
  <c r="C62" i="7"/>
  <c r="D62" i="7" s="1"/>
  <c r="A63" i="7"/>
  <c r="A63" i="4"/>
  <c r="A63" i="5"/>
  <c r="A63" i="3"/>
  <c r="Y63" i="2"/>
  <c r="C64" i="5"/>
  <c r="C64" i="3"/>
  <c r="W64" i="2"/>
  <c r="M81" i="10"/>
  <c r="C64" i="7"/>
  <c r="D64" i="7" s="1"/>
  <c r="A65" i="5"/>
  <c r="A65" i="7"/>
  <c r="A65" i="3"/>
  <c r="A65" i="4"/>
  <c r="Y65" i="2"/>
  <c r="C66" i="5"/>
  <c r="C66" i="3"/>
  <c r="W66" i="2"/>
  <c r="M83" i="10"/>
  <c r="C66" i="7"/>
  <c r="D66" i="7" s="1"/>
  <c r="A67" i="7"/>
  <c r="A67" i="5"/>
  <c r="A67" i="4"/>
  <c r="A67" i="3"/>
  <c r="Y67" i="2"/>
  <c r="C68" i="5"/>
  <c r="C68" i="3"/>
  <c r="W68" i="2"/>
  <c r="M85" i="10"/>
  <c r="C68" i="7"/>
  <c r="D68" i="7" s="1"/>
  <c r="A69" i="5"/>
  <c r="A69" i="7"/>
  <c r="A69" i="4"/>
  <c r="A69" i="3"/>
  <c r="Y69" i="2"/>
  <c r="C70" i="5"/>
  <c r="C70" i="3"/>
  <c r="W70" i="2"/>
  <c r="M87" i="10"/>
  <c r="C70" i="7"/>
  <c r="D70" i="7" s="1"/>
  <c r="A71" i="7"/>
  <c r="A71" i="5"/>
  <c r="A71" i="4"/>
  <c r="A71" i="3"/>
  <c r="Y71" i="2"/>
  <c r="C72" i="5"/>
  <c r="C72" i="3"/>
  <c r="W72" i="2"/>
  <c r="M89" i="10"/>
  <c r="C72" i="7"/>
  <c r="D72" i="7" s="1"/>
  <c r="A73" i="5"/>
  <c r="A73" i="7"/>
  <c r="A73" i="3"/>
  <c r="A73" i="4"/>
  <c r="Y73" i="2"/>
  <c r="C74" i="5"/>
  <c r="C74" i="3"/>
  <c r="W74" i="2"/>
  <c r="M91" i="10"/>
  <c r="C74" i="7"/>
  <c r="D74" i="7" s="1"/>
  <c r="A75" i="7"/>
  <c r="A75" i="5"/>
  <c r="A75" i="4"/>
  <c r="A75" i="3"/>
  <c r="Y75" i="2"/>
  <c r="C76" i="5"/>
  <c r="C76" i="3"/>
  <c r="W76" i="2"/>
  <c r="C76" i="7"/>
  <c r="D76" i="7" s="1"/>
  <c r="M93" i="10"/>
  <c r="A77" i="5"/>
  <c r="A77" i="7"/>
  <c r="A77" i="4"/>
  <c r="A77" i="3"/>
  <c r="Y77" i="2"/>
  <c r="C78" i="5"/>
  <c r="C78" i="3"/>
  <c r="W78" i="2"/>
  <c r="M95" i="10"/>
  <c r="C78" i="7"/>
  <c r="D78" i="7" s="1"/>
  <c r="A79" i="7"/>
  <c r="A79" i="4"/>
  <c r="A79" i="5"/>
  <c r="A79" i="3"/>
  <c r="Y79" i="2"/>
  <c r="C80" i="3"/>
  <c r="C80" i="5"/>
  <c r="W80" i="2"/>
  <c r="M97" i="10"/>
  <c r="C80" i="7"/>
  <c r="D80" i="7" s="1"/>
  <c r="A81" i="5"/>
  <c r="A81" i="7"/>
  <c r="A81" i="3"/>
  <c r="A81" i="4"/>
  <c r="Y81" i="2"/>
  <c r="C82" i="5"/>
  <c r="C82" i="3"/>
  <c r="W82" i="2"/>
  <c r="M99" i="10"/>
  <c r="C82" i="7"/>
  <c r="D82" i="7" s="1"/>
  <c r="A83" i="7"/>
  <c r="A83" i="5"/>
  <c r="A83" i="4"/>
  <c r="A83" i="3"/>
  <c r="Y83" i="2"/>
  <c r="C84" i="5"/>
  <c r="C84" i="3"/>
  <c r="W84" i="2"/>
  <c r="M101" i="10"/>
  <c r="C84" i="7"/>
  <c r="D84" i="7" s="1"/>
  <c r="A85" i="5"/>
  <c r="A85" i="4"/>
  <c r="A85" i="3"/>
  <c r="A85" i="7"/>
  <c r="Y85" i="2"/>
  <c r="C86" i="5"/>
  <c r="C86" i="3"/>
  <c r="W86" i="2"/>
  <c r="M103" i="10"/>
  <c r="C86" i="7"/>
  <c r="D86" i="7" s="1"/>
  <c r="A87" i="7"/>
  <c r="A87" i="5"/>
  <c r="A87" i="4"/>
  <c r="A87" i="3"/>
  <c r="Y87" i="2"/>
  <c r="C88" i="5"/>
  <c r="C88" i="3"/>
  <c r="W88" i="2"/>
  <c r="A89" i="7"/>
  <c r="A89" i="5"/>
  <c r="A89" i="3"/>
  <c r="A89" i="4"/>
  <c r="Y89" i="2"/>
  <c r="C90" i="5"/>
  <c r="C90" i="3"/>
  <c r="W90" i="2"/>
  <c r="A91" i="7"/>
  <c r="A91" i="4"/>
  <c r="A91" i="5"/>
  <c r="A91" i="3"/>
  <c r="Y91" i="2"/>
  <c r="C92" i="5"/>
  <c r="C92" i="3"/>
  <c r="W92" i="2"/>
  <c r="M109" i="10"/>
  <c r="C92" i="7"/>
  <c r="D92" i="7" s="1"/>
  <c r="A93" i="7"/>
  <c r="A93" i="5"/>
  <c r="A93" i="4"/>
  <c r="A93" i="3"/>
  <c r="Y93" i="2"/>
  <c r="C94" i="5"/>
  <c r="C94" i="3"/>
  <c r="W94" i="2"/>
  <c r="M111" i="10"/>
  <c r="C94" i="7"/>
  <c r="D94" i="7" s="1"/>
  <c r="A95" i="7"/>
  <c r="A95" i="4"/>
  <c r="A95" i="5"/>
  <c r="A95" i="3"/>
  <c r="Y95" i="2"/>
  <c r="C96" i="5"/>
  <c r="C96" i="3"/>
  <c r="W96" i="2"/>
  <c r="M113" i="10"/>
  <c r="C96" i="7"/>
  <c r="D96" i="7" s="1"/>
  <c r="A97" i="7"/>
  <c r="A97" i="5"/>
  <c r="A97" i="3"/>
  <c r="A97" i="4"/>
  <c r="Y97" i="2"/>
  <c r="C98" i="5"/>
  <c r="C98" i="3"/>
  <c r="W98" i="2"/>
  <c r="M115" i="10"/>
  <c r="C98" i="7"/>
  <c r="D98" i="7" s="1"/>
  <c r="A99" i="7"/>
  <c r="A99" i="5"/>
  <c r="A99" i="4"/>
  <c r="A99" i="3"/>
  <c r="Y99" i="2"/>
  <c r="C100" i="5"/>
  <c r="C100" i="3"/>
  <c r="W100" i="2"/>
  <c r="M117" i="10"/>
  <c r="C100" i="7"/>
  <c r="D100" i="7" s="1"/>
  <c r="A101" i="7"/>
  <c r="A101" i="5"/>
  <c r="A101" i="4"/>
  <c r="A101" i="3"/>
  <c r="Y101" i="2"/>
  <c r="C102" i="5"/>
  <c r="C102" i="3"/>
  <c r="W102" i="2"/>
  <c r="M119" i="10"/>
  <c r="C102" i="7"/>
  <c r="D102" i="7" s="1"/>
  <c r="A103" i="7"/>
  <c r="A103" i="5"/>
  <c r="A103" i="4"/>
  <c r="A103" i="3"/>
  <c r="Y103" i="2"/>
  <c r="C104" i="5"/>
  <c r="C104" i="3"/>
  <c r="W104" i="2"/>
  <c r="M121" i="10"/>
  <c r="C104" i="7"/>
  <c r="D104" i="7" s="1"/>
  <c r="A105" i="7"/>
  <c r="A105" i="5"/>
  <c r="A105" i="3"/>
  <c r="A105" i="4"/>
  <c r="Y105" i="2"/>
  <c r="C106" i="5"/>
  <c r="C106" i="3"/>
  <c r="W106" i="2"/>
  <c r="M123" i="10"/>
  <c r="C106" i="7"/>
  <c r="D106" i="7" s="1"/>
  <c r="A107" i="7"/>
  <c r="A107" i="5"/>
  <c r="A107" i="4"/>
  <c r="A107" i="3"/>
  <c r="Y107" i="2"/>
  <c r="C108" i="5"/>
  <c r="C108" i="3"/>
  <c r="W108" i="2"/>
  <c r="M125" i="10"/>
  <c r="C108" i="7"/>
  <c r="D108" i="7" s="1"/>
  <c r="A109" i="5"/>
  <c r="A109" i="7"/>
  <c r="A109" i="4"/>
  <c r="A109" i="3"/>
  <c r="Y109" i="2"/>
  <c r="C110" i="5"/>
  <c r="C110" i="3"/>
  <c r="W110" i="2"/>
  <c r="M127" i="10"/>
  <c r="C110" i="7"/>
  <c r="D110" i="7" s="1"/>
  <c r="A111" i="7"/>
  <c r="A111" i="4"/>
  <c r="A111" i="3"/>
  <c r="A111" i="5"/>
  <c r="Y111" i="2"/>
  <c r="C112" i="5"/>
  <c r="C112" i="3"/>
  <c r="W112" i="2"/>
  <c r="C112" i="7"/>
  <c r="D112" i="7" s="1"/>
  <c r="M129" i="10"/>
  <c r="A113" i="5"/>
  <c r="A113" i="7"/>
  <c r="A113" i="3"/>
  <c r="A113" i="4"/>
  <c r="Y113" i="2"/>
  <c r="C114" i="5"/>
  <c r="C114" i="3"/>
  <c r="W114" i="2"/>
  <c r="M131" i="10"/>
  <c r="C114" i="7"/>
  <c r="D114" i="7" s="1"/>
  <c r="A115" i="7"/>
  <c r="A115" i="5"/>
  <c r="A115" i="4"/>
  <c r="A115" i="3"/>
  <c r="Y115" i="2"/>
  <c r="C116" i="5"/>
  <c r="C116" i="3"/>
  <c r="W116" i="2"/>
  <c r="M133" i="10"/>
  <c r="C116" i="7"/>
  <c r="D116" i="7" s="1"/>
  <c r="A117" i="7"/>
  <c r="A117" i="5"/>
  <c r="A117" i="4"/>
  <c r="A117" i="3"/>
  <c r="Y117" i="2"/>
  <c r="C118" i="5"/>
  <c r="C118" i="3"/>
  <c r="W118" i="2"/>
  <c r="M135" i="10"/>
  <c r="C118" i="7"/>
  <c r="D118" i="7" s="1"/>
  <c r="A119" i="7"/>
  <c r="A119" i="5"/>
  <c r="A119" i="4"/>
  <c r="A119" i="3"/>
  <c r="Y119" i="2"/>
  <c r="C120" i="5"/>
  <c r="C120" i="3"/>
  <c r="W120" i="2"/>
  <c r="M137" i="10"/>
  <c r="C120" i="7"/>
  <c r="D120" i="7" s="1"/>
  <c r="A121" i="7"/>
  <c r="A121" i="5"/>
  <c r="A121" i="3"/>
  <c r="A121" i="4"/>
  <c r="Y121" i="2"/>
  <c r="C122" i="5"/>
  <c r="C122" i="3"/>
  <c r="W122" i="2"/>
  <c r="M139" i="10"/>
  <c r="C122" i="7"/>
  <c r="D122" i="7" s="1"/>
  <c r="A123" i="7"/>
  <c r="A123" i="4"/>
  <c r="A123" i="5"/>
  <c r="A123" i="3"/>
  <c r="Y123" i="2"/>
  <c r="C124" i="5"/>
  <c r="C124" i="3"/>
  <c r="W124" i="2"/>
  <c r="M141" i="10"/>
  <c r="C124" i="7"/>
  <c r="D124" i="7" s="1"/>
  <c r="A125" i="7"/>
  <c r="A125" i="5"/>
  <c r="A125" i="4"/>
  <c r="A125" i="3"/>
  <c r="Y125" i="2"/>
  <c r="C126" i="5"/>
  <c r="C126" i="3"/>
  <c r="W126" i="2"/>
  <c r="M143" i="10"/>
  <c r="C126" i="7"/>
  <c r="D126" i="7" s="1"/>
  <c r="A127" i="7"/>
  <c r="A127" i="4"/>
  <c r="A127" i="5"/>
  <c r="A127" i="3"/>
  <c r="Y127" i="2"/>
  <c r="C128" i="5"/>
  <c r="C128" i="3"/>
  <c r="W128" i="2"/>
  <c r="M145" i="10"/>
  <c r="C128" i="7"/>
  <c r="D128" i="7" s="1"/>
  <c r="A129" i="7"/>
  <c r="A129" i="5"/>
  <c r="A129" i="3"/>
  <c r="A129" i="4"/>
  <c r="Y129" i="2"/>
  <c r="C130" i="5"/>
  <c r="C130" i="3"/>
  <c r="AE130" i="2"/>
  <c r="T130" i="2"/>
  <c r="G130" i="3" s="1"/>
  <c r="D131" i="5"/>
  <c r="Y131" i="2"/>
  <c r="D131" i="3"/>
  <c r="V131" i="2"/>
  <c r="M131" i="4" s="1"/>
  <c r="M148" i="10"/>
  <c r="C131" i="7"/>
  <c r="D131" i="7" s="1"/>
  <c r="D133" i="5"/>
  <c r="Y133" i="2"/>
  <c r="D133" i="3"/>
  <c r="V133" i="2"/>
  <c r="M133" i="4" s="1"/>
  <c r="C133" i="7"/>
  <c r="D133" i="7" s="1"/>
  <c r="M150" i="10"/>
  <c r="D135" i="5"/>
  <c r="Y135" i="2"/>
  <c r="D135" i="3"/>
  <c r="V135" i="2"/>
  <c r="M135" i="4" s="1"/>
  <c r="M152" i="10"/>
  <c r="C135" i="7"/>
  <c r="D135" i="7" s="1"/>
  <c r="D137" i="5"/>
  <c r="Y137" i="2"/>
  <c r="D137" i="3"/>
  <c r="V137" i="2"/>
  <c r="M137" i="4" s="1"/>
  <c r="C137" i="7"/>
  <c r="D137" i="7" s="1"/>
  <c r="M154" i="10"/>
  <c r="D139" i="5"/>
  <c r="Y139" i="2"/>
  <c r="D139" i="3"/>
  <c r="V139" i="2"/>
  <c r="M139" i="4" s="1"/>
  <c r="M156" i="10"/>
  <c r="C139" i="7"/>
  <c r="D139" i="7" s="1"/>
  <c r="D141" i="5"/>
  <c r="Y141" i="2"/>
  <c r="D141" i="3"/>
  <c r="V141" i="2"/>
  <c r="M141" i="4" s="1"/>
  <c r="C141" i="7"/>
  <c r="D141" i="7" s="1"/>
  <c r="M158" i="10"/>
  <c r="D143" i="5"/>
  <c r="Y143" i="2"/>
  <c r="D143" i="3"/>
  <c r="V143" i="2"/>
  <c r="M143" i="4" s="1"/>
  <c r="C143" i="7"/>
  <c r="D143" i="7" s="1"/>
  <c r="M160" i="10"/>
  <c r="Y145" i="2"/>
  <c r="D145" i="5"/>
  <c r="D145" i="3"/>
  <c r="V145" i="2"/>
  <c r="M145" i="4" s="1"/>
  <c r="M162" i="10"/>
  <c r="C145" i="7"/>
  <c r="D145" i="7" s="1"/>
  <c r="D147" i="5"/>
  <c r="Y147" i="2"/>
  <c r="D147" i="3"/>
  <c r="V147" i="2"/>
  <c r="M147" i="4" s="1"/>
  <c r="M164" i="10"/>
  <c r="C147" i="7"/>
  <c r="D147" i="7" s="1"/>
  <c r="D149" i="5"/>
  <c r="Y149" i="2"/>
  <c r="D149" i="3"/>
  <c r="V149" i="2"/>
  <c r="M149" i="4" s="1"/>
  <c r="M166" i="10"/>
  <c r="C149" i="7"/>
  <c r="D149" i="7" s="1"/>
  <c r="Y151" i="2"/>
  <c r="D151" i="5"/>
  <c r="D151" i="3"/>
  <c r="V151" i="2"/>
  <c r="M151" i="4" s="1"/>
  <c r="M168" i="10"/>
  <c r="C151" i="7"/>
  <c r="D151" i="7" s="1"/>
  <c r="D153" i="5"/>
  <c r="D153" i="3"/>
  <c r="Y153" i="2"/>
  <c r="V153" i="2"/>
  <c r="M153" i="4" s="1"/>
  <c r="M170" i="10"/>
  <c r="C153" i="7"/>
  <c r="D153" i="7" s="1"/>
  <c r="H115" i="10"/>
  <c r="B45" i="5"/>
  <c r="B45" i="7"/>
  <c r="B45" i="4"/>
  <c r="B45" i="3"/>
  <c r="A115" i="10"/>
  <c r="G45" i="7"/>
  <c r="F45" i="5"/>
  <c r="G45" i="5" s="1"/>
  <c r="H45" i="5" s="1"/>
  <c r="I45" i="5" s="1"/>
  <c r="C45" i="4"/>
  <c r="E45" i="4" s="1"/>
  <c r="L45" i="4" s="1"/>
  <c r="E45" i="3"/>
  <c r="V45" i="2"/>
  <c r="M45" i="4" s="1"/>
  <c r="D46" i="5"/>
  <c r="D46" i="3"/>
  <c r="H117" i="10"/>
  <c r="B47" i="7"/>
  <c r="B47" i="5"/>
  <c r="B47" i="4"/>
  <c r="B47" i="3"/>
  <c r="A117" i="10"/>
  <c r="G47" i="7"/>
  <c r="F47" i="5"/>
  <c r="G47" i="5" s="1"/>
  <c r="H47" i="5" s="1"/>
  <c r="I47" i="5" s="1"/>
  <c r="C47" i="4"/>
  <c r="E47" i="4" s="1"/>
  <c r="L47" i="4" s="1"/>
  <c r="E47" i="3"/>
  <c r="V47" i="2"/>
  <c r="M47" i="4" s="1"/>
  <c r="D48" i="5"/>
  <c r="D48" i="3"/>
  <c r="H119" i="10"/>
  <c r="B49" i="5"/>
  <c r="B49" i="4"/>
  <c r="B49" i="7"/>
  <c r="B49" i="3"/>
  <c r="A119" i="10"/>
  <c r="G49" i="7"/>
  <c r="C49" i="4"/>
  <c r="E49" i="4" s="1"/>
  <c r="L49" i="4" s="1"/>
  <c r="E49" i="3"/>
  <c r="F49" i="5"/>
  <c r="G49" i="5" s="1"/>
  <c r="H49" i="5" s="1"/>
  <c r="I49" i="5" s="1"/>
  <c r="V49" i="2"/>
  <c r="M49" i="4" s="1"/>
  <c r="D50" i="5"/>
  <c r="D50" i="3"/>
  <c r="H121" i="10"/>
  <c r="B51" i="5"/>
  <c r="B51" i="7"/>
  <c r="B51" i="4"/>
  <c r="B51" i="3"/>
  <c r="A121" i="10"/>
  <c r="F51" i="5"/>
  <c r="G51" i="5" s="1"/>
  <c r="H51" i="5" s="1"/>
  <c r="I51" i="5" s="1"/>
  <c r="G51" i="7"/>
  <c r="C51" i="4"/>
  <c r="E51" i="4" s="1"/>
  <c r="L51" i="4" s="1"/>
  <c r="E51" i="3"/>
  <c r="V51" i="2"/>
  <c r="M51" i="4" s="1"/>
  <c r="D52" i="5"/>
  <c r="D52" i="3"/>
  <c r="H123" i="10"/>
  <c r="B53" i="7"/>
  <c r="B53" i="4"/>
  <c r="B53" i="5"/>
  <c r="B53" i="3"/>
  <c r="A123" i="10"/>
  <c r="G53" i="7"/>
  <c r="C53" i="4"/>
  <c r="E53" i="4" s="1"/>
  <c r="L53" i="4" s="1"/>
  <c r="F53" i="5"/>
  <c r="G53" i="5" s="1"/>
  <c r="H53" i="5" s="1"/>
  <c r="I53" i="5" s="1"/>
  <c r="E53" i="3"/>
  <c r="V53" i="2"/>
  <c r="M53" i="4" s="1"/>
  <c r="D54" i="5"/>
  <c r="D54" i="3"/>
  <c r="H125" i="10"/>
  <c r="B55" i="5"/>
  <c r="B55" i="7"/>
  <c r="B55" i="4"/>
  <c r="B55" i="3"/>
  <c r="A125" i="10"/>
  <c r="G55" i="7"/>
  <c r="F55" i="5"/>
  <c r="G55" i="5" s="1"/>
  <c r="H55" i="5" s="1"/>
  <c r="I55" i="5" s="1"/>
  <c r="C55" i="4"/>
  <c r="E55" i="4" s="1"/>
  <c r="L55" i="4" s="1"/>
  <c r="E55" i="3"/>
  <c r="V55" i="2"/>
  <c r="M55" i="4" s="1"/>
  <c r="D56" i="5"/>
  <c r="D56" i="3"/>
  <c r="H127" i="10"/>
  <c r="B57" i="7"/>
  <c r="B57" i="5"/>
  <c r="B57" i="4"/>
  <c r="B57" i="3"/>
  <c r="A127" i="10"/>
  <c r="G57" i="7"/>
  <c r="F57" i="5"/>
  <c r="G57" i="5" s="1"/>
  <c r="H57" i="5" s="1"/>
  <c r="I57" i="5" s="1"/>
  <c r="C57" i="4"/>
  <c r="E57" i="4" s="1"/>
  <c r="L57" i="4" s="1"/>
  <c r="E57" i="3"/>
  <c r="V57" i="2"/>
  <c r="M57" i="4" s="1"/>
  <c r="D58" i="5"/>
  <c r="D58" i="3"/>
  <c r="H129" i="10"/>
  <c r="B59" i="7"/>
  <c r="B59" i="5"/>
  <c r="B59" i="4"/>
  <c r="B59" i="3"/>
  <c r="A129" i="10"/>
  <c r="G59" i="7"/>
  <c r="F59" i="5"/>
  <c r="G59" i="5" s="1"/>
  <c r="H59" i="5" s="1"/>
  <c r="I59" i="5" s="1"/>
  <c r="C59" i="4"/>
  <c r="E59" i="4" s="1"/>
  <c r="L59" i="4" s="1"/>
  <c r="E59" i="3"/>
  <c r="V59" i="2"/>
  <c r="M59" i="4" s="1"/>
  <c r="D60" i="5"/>
  <c r="D60" i="3"/>
  <c r="B61" i="5"/>
  <c r="B61" i="7"/>
  <c r="H131" i="10"/>
  <c r="B61" i="4"/>
  <c r="B61" i="3"/>
  <c r="A131" i="10"/>
  <c r="G61" i="7"/>
  <c r="F61" i="5"/>
  <c r="G61" i="5" s="1"/>
  <c r="H61" i="5" s="1"/>
  <c r="I61" i="5" s="1"/>
  <c r="C61" i="4"/>
  <c r="E61" i="4" s="1"/>
  <c r="L61" i="4" s="1"/>
  <c r="E61" i="3"/>
  <c r="V61" i="2"/>
  <c r="M61" i="4" s="1"/>
  <c r="D62" i="5"/>
  <c r="D62" i="3"/>
  <c r="H133" i="10"/>
  <c r="B63" i="5"/>
  <c r="B63" i="7"/>
  <c r="B63" i="4"/>
  <c r="B63" i="3"/>
  <c r="A133" i="10"/>
  <c r="G63" i="7"/>
  <c r="C63" i="4"/>
  <c r="E63" i="4" s="1"/>
  <c r="L63" i="4" s="1"/>
  <c r="E63" i="3"/>
  <c r="F63" i="5"/>
  <c r="G63" i="5" s="1"/>
  <c r="H63" i="5" s="1"/>
  <c r="I63" i="5" s="1"/>
  <c r="V63" i="2"/>
  <c r="M63" i="4" s="1"/>
  <c r="D64" i="5"/>
  <c r="D64" i="3"/>
  <c r="H135" i="10"/>
  <c r="B65" i="7"/>
  <c r="B65" i="5"/>
  <c r="B65" i="4"/>
  <c r="B65" i="3"/>
  <c r="A135" i="10"/>
  <c r="G65" i="7"/>
  <c r="F65" i="5"/>
  <c r="G65" i="5" s="1"/>
  <c r="H65" i="5" s="1"/>
  <c r="I65" i="5" s="1"/>
  <c r="C65" i="4"/>
  <c r="E65" i="4" s="1"/>
  <c r="L65" i="4" s="1"/>
  <c r="E65" i="3"/>
  <c r="V65" i="2"/>
  <c r="M65" i="4" s="1"/>
  <c r="D66" i="5"/>
  <c r="D66" i="3"/>
  <c r="H137" i="10"/>
  <c r="B67" i="7"/>
  <c r="B67" i="5"/>
  <c r="B67" i="4"/>
  <c r="B67" i="3"/>
  <c r="A137" i="10"/>
  <c r="G67" i="7"/>
  <c r="F67" i="5"/>
  <c r="G67" i="5" s="1"/>
  <c r="H67" i="5" s="1"/>
  <c r="I67" i="5" s="1"/>
  <c r="C67" i="4"/>
  <c r="E67" i="4" s="1"/>
  <c r="L67" i="4" s="1"/>
  <c r="E67" i="3"/>
  <c r="V67" i="2"/>
  <c r="M67" i="4" s="1"/>
  <c r="D68" i="3"/>
  <c r="D68" i="5"/>
  <c r="H139" i="10"/>
  <c r="B69" i="7"/>
  <c r="B69" i="5"/>
  <c r="B69" i="4"/>
  <c r="B69" i="3"/>
  <c r="A139" i="10"/>
  <c r="G69" i="7"/>
  <c r="C69" i="4"/>
  <c r="E69" i="4" s="1"/>
  <c r="L69" i="4" s="1"/>
  <c r="E69" i="3"/>
  <c r="F69" i="5"/>
  <c r="G69" i="5" s="1"/>
  <c r="H69" i="5" s="1"/>
  <c r="I69" i="5" s="1"/>
  <c r="V69" i="2"/>
  <c r="M69" i="4" s="1"/>
  <c r="D70" i="5"/>
  <c r="D70" i="3"/>
  <c r="H141" i="10"/>
  <c r="B71" i="5"/>
  <c r="B71" i="7"/>
  <c r="B71" i="3"/>
  <c r="B71" i="4"/>
  <c r="A141" i="10"/>
  <c r="G71" i="7"/>
  <c r="F71" i="5"/>
  <c r="G71" i="5" s="1"/>
  <c r="H71" i="5" s="1"/>
  <c r="I71" i="5" s="1"/>
  <c r="C71" i="4"/>
  <c r="E71" i="4" s="1"/>
  <c r="L71" i="4" s="1"/>
  <c r="E71" i="3"/>
  <c r="V71" i="2"/>
  <c r="M71" i="4" s="1"/>
  <c r="D72" i="5"/>
  <c r="D72" i="3"/>
  <c r="H143" i="10"/>
  <c r="B73" i="7"/>
  <c r="B73" i="4"/>
  <c r="B73" i="3"/>
  <c r="B73" i="5"/>
  <c r="A143" i="10"/>
  <c r="G73" i="7"/>
  <c r="F73" i="5"/>
  <c r="G73" i="5" s="1"/>
  <c r="H73" i="5" s="1"/>
  <c r="I73" i="5" s="1"/>
  <c r="C73" i="4"/>
  <c r="E73" i="4" s="1"/>
  <c r="L73" i="4" s="1"/>
  <c r="E73" i="3"/>
  <c r="V73" i="2"/>
  <c r="M73" i="4" s="1"/>
  <c r="D74" i="5"/>
  <c r="D74" i="3"/>
  <c r="H145" i="10"/>
  <c r="B75" i="7"/>
  <c r="B75" i="5"/>
  <c r="B75" i="4"/>
  <c r="B75" i="3"/>
  <c r="A145" i="10"/>
  <c r="G75" i="7"/>
  <c r="C75" i="4"/>
  <c r="E75" i="4" s="1"/>
  <c r="L75" i="4" s="1"/>
  <c r="F75" i="5"/>
  <c r="G75" i="5" s="1"/>
  <c r="H75" i="5" s="1"/>
  <c r="I75" i="5" s="1"/>
  <c r="E75" i="3"/>
  <c r="V75" i="2"/>
  <c r="M75" i="4" s="1"/>
  <c r="D76" i="5"/>
  <c r="D76" i="3"/>
  <c r="H147" i="10"/>
  <c r="B77" i="7"/>
  <c r="B77" i="5"/>
  <c r="B77" i="4"/>
  <c r="B77" i="3"/>
  <c r="A147" i="10"/>
  <c r="G77" i="7"/>
  <c r="F77" i="5"/>
  <c r="G77" i="5" s="1"/>
  <c r="H77" i="5" s="1"/>
  <c r="I77" i="5" s="1"/>
  <c r="C77" i="4"/>
  <c r="E77" i="4" s="1"/>
  <c r="L77" i="4" s="1"/>
  <c r="E77" i="3"/>
  <c r="V77" i="2"/>
  <c r="M77" i="4" s="1"/>
  <c r="D78" i="5"/>
  <c r="D78" i="3"/>
  <c r="H149" i="10"/>
  <c r="B79" i="7"/>
  <c r="B79" i="5"/>
  <c r="B79" i="4"/>
  <c r="B79" i="3"/>
  <c r="A149" i="10"/>
  <c r="G79" i="7"/>
  <c r="F79" i="5"/>
  <c r="G79" i="5" s="1"/>
  <c r="H79" i="5" s="1"/>
  <c r="I79" i="5" s="1"/>
  <c r="C79" i="4"/>
  <c r="E79" i="4" s="1"/>
  <c r="L79" i="4" s="1"/>
  <c r="E79" i="3"/>
  <c r="V79" i="2"/>
  <c r="M79" i="4" s="1"/>
  <c r="D80" i="3"/>
  <c r="D80" i="5"/>
  <c r="H151" i="10"/>
  <c r="B81" i="7"/>
  <c r="B81" i="5"/>
  <c r="B81" i="4"/>
  <c r="B81" i="3"/>
  <c r="A151" i="10"/>
  <c r="G81" i="7"/>
  <c r="C81" i="4"/>
  <c r="E81" i="4" s="1"/>
  <c r="L81" i="4" s="1"/>
  <c r="F81" i="5"/>
  <c r="G81" i="5" s="1"/>
  <c r="H81" i="5" s="1"/>
  <c r="I81" i="5" s="1"/>
  <c r="E81" i="3"/>
  <c r="V81" i="2"/>
  <c r="M81" i="4" s="1"/>
  <c r="D82" i="5"/>
  <c r="D82" i="3"/>
  <c r="H153" i="10"/>
  <c r="B83" i="7"/>
  <c r="B83" i="5"/>
  <c r="B83" i="4"/>
  <c r="B83" i="3"/>
  <c r="A153" i="10"/>
  <c r="G83" i="7"/>
  <c r="F83" i="5"/>
  <c r="G83" i="5" s="1"/>
  <c r="H83" i="5" s="1"/>
  <c r="I83" i="5" s="1"/>
  <c r="C83" i="4"/>
  <c r="E83" i="4" s="1"/>
  <c r="L83" i="4" s="1"/>
  <c r="E83" i="3"/>
  <c r="V83" i="2"/>
  <c r="M83" i="4" s="1"/>
  <c r="D84" i="5"/>
  <c r="D84" i="3"/>
  <c r="H155" i="10"/>
  <c r="B85" i="7"/>
  <c r="B85" i="4"/>
  <c r="B85" i="5"/>
  <c r="B85" i="3"/>
  <c r="A155" i="10"/>
  <c r="G85" i="7"/>
  <c r="C85" i="4"/>
  <c r="E85" i="4" s="1"/>
  <c r="L85" i="4" s="1"/>
  <c r="F85" i="5"/>
  <c r="G85" i="5" s="1"/>
  <c r="H85" i="5" s="1"/>
  <c r="I85" i="5" s="1"/>
  <c r="E85" i="3"/>
  <c r="V85" i="2"/>
  <c r="M85" i="4" s="1"/>
  <c r="D86" i="5"/>
  <c r="D86" i="3"/>
  <c r="H157" i="10"/>
  <c r="B87" i="7"/>
  <c r="B87" i="5"/>
  <c r="B87" i="4"/>
  <c r="B87" i="3"/>
  <c r="A157" i="10"/>
  <c r="G87" i="7"/>
  <c r="F87" i="5"/>
  <c r="G87" i="5" s="1"/>
  <c r="H87" i="5" s="1"/>
  <c r="I87" i="5" s="1"/>
  <c r="C87" i="4"/>
  <c r="E87" i="4" s="1"/>
  <c r="L87" i="4" s="1"/>
  <c r="E87" i="3"/>
  <c r="V87" i="2"/>
  <c r="M87" i="4" s="1"/>
  <c r="D88" i="5"/>
  <c r="D88" i="3"/>
  <c r="H159" i="10"/>
  <c r="B89" i="7"/>
  <c r="B89" i="5"/>
  <c r="B89" i="4"/>
  <c r="B89" i="3"/>
  <c r="A159" i="10"/>
  <c r="G89" i="7"/>
  <c r="F89" i="5"/>
  <c r="G89" i="5" s="1"/>
  <c r="H89" i="5" s="1"/>
  <c r="I89" i="5" s="1"/>
  <c r="C89" i="4"/>
  <c r="E89" i="4" s="1"/>
  <c r="L89" i="4" s="1"/>
  <c r="E89" i="3"/>
  <c r="V89" i="2"/>
  <c r="M89" i="4" s="1"/>
  <c r="D90" i="5"/>
  <c r="D90" i="3"/>
  <c r="H161" i="10"/>
  <c r="B91" i="5"/>
  <c r="B91" i="7"/>
  <c r="B91" i="4"/>
  <c r="B91" i="3"/>
  <c r="A161" i="10"/>
  <c r="G91" i="7"/>
  <c r="F91" i="5"/>
  <c r="G91" i="5" s="1"/>
  <c r="H91" i="5" s="1"/>
  <c r="I91" i="5" s="1"/>
  <c r="C91" i="4"/>
  <c r="E91" i="4" s="1"/>
  <c r="L91" i="4" s="1"/>
  <c r="E91" i="3"/>
  <c r="V91" i="2"/>
  <c r="M91" i="4" s="1"/>
  <c r="D92" i="5"/>
  <c r="D92" i="3"/>
  <c r="H163" i="10"/>
  <c r="B93" i="7"/>
  <c r="B93" i="5"/>
  <c r="B93" i="4"/>
  <c r="B93" i="3"/>
  <c r="A163" i="10"/>
  <c r="G93" i="7"/>
  <c r="F93" i="5"/>
  <c r="G93" i="5" s="1"/>
  <c r="H93" i="5" s="1"/>
  <c r="I93" i="5" s="1"/>
  <c r="C93" i="4"/>
  <c r="E93" i="4" s="1"/>
  <c r="L93" i="4" s="1"/>
  <c r="E93" i="3"/>
  <c r="V93" i="2"/>
  <c r="M93" i="4" s="1"/>
  <c r="D94" i="5"/>
  <c r="D94" i="3"/>
  <c r="H165" i="10"/>
  <c r="B95" i="7"/>
  <c r="B95" i="5"/>
  <c r="B95" i="4"/>
  <c r="B95" i="3"/>
  <c r="A165" i="10"/>
  <c r="G95" i="7"/>
  <c r="F95" i="5"/>
  <c r="G95" i="5" s="1"/>
  <c r="H95" i="5" s="1"/>
  <c r="I95" i="5" s="1"/>
  <c r="C95" i="4"/>
  <c r="E95" i="4" s="1"/>
  <c r="L95" i="4" s="1"/>
  <c r="E95" i="3"/>
  <c r="V95" i="2"/>
  <c r="M95" i="4" s="1"/>
  <c r="D96" i="5"/>
  <c r="D96" i="3"/>
  <c r="H167" i="10"/>
  <c r="B97" i="7"/>
  <c r="B97" i="5"/>
  <c r="B97" i="4"/>
  <c r="B97" i="3"/>
  <c r="A167" i="10"/>
  <c r="G97" i="7"/>
  <c r="F97" i="5"/>
  <c r="G97" i="5" s="1"/>
  <c r="H97" i="5" s="1"/>
  <c r="I97" i="5" s="1"/>
  <c r="C97" i="4"/>
  <c r="E97" i="4" s="1"/>
  <c r="L97" i="4" s="1"/>
  <c r="E97" i="3"/>
  <c r="V97" i="2"/>
  <c r="M97" i="4" s="1"/>
  <c r="D98" i="5"/>
  <c r="D98" i="3"/>
  <c r="H169" i="10"/>
  <c r="B99" i="7"/>
  <c r="B99" i="4"/>
  <c r="B99" i="3"/>
  <c r="B99" i="5"/>
  <c r="A169" i="10"/>
  <c r="G99" i="7"/>
  <c r="F99" i="5"/>
  <c r="G99" i="5" s="1"/>
  <c r="H99" i="5" s="1"/>
  <c r="I99" i="5" s="1"/>
  <c r="C99" i="4"/>
  <c r="E99" i="4" s="1"/>
  <c r="L99" i="4" s="1"/>
  <c r="E99" i="3"/>
  <c r="V99" i="2"/>
  <c r="M99" i="4" s="1"/>
  <c r="D100" i="3"/>
  <c r="D100" i="5"/>
  <c r="H171" i="10"/>
  <c r="B101" i="7"/>
  <c r="B101" i="5"/>
  <c r="B101" i="4"/>
  <c r="B101" i="3"/>
  <c r="A171" i="10"/>
  <c r="G101" i="7"/>
  <c r="C101" i="4"/>
  <c r="E101" i="4" s="1"/>
  <c r="L101" i="4" s="1"/>
  <c r="E101" i="3"/>
  <c r="F101" i="5"/>
  <c r="G101" i="5" s="1"/>
  <c r="H101" i="5" s="1"/>
  <c r="I101" i="5" s="1"/>
  <c r="V101" i="2"/>
  <c r="M101" i="4" s="1"/>
  <c r="D102" i="5"/>
  <c r="D102" i="3"/>
  <c r="H173" i="10"/>
  <c r="B103" i="7"/>
  <c r="B103" i="5"/>
  <c r="B103" i="3"/>
  <c r="B103" i="4"/>
  <c r="A173" i="10"/>
  <c r="G103" i="7"/>
  <c r="F103" i="5"/>
  <c r="G103" i="5" s="1"/>
  <c r="H103" i="5" s="1"/>
  <c r="I103" i="5" s="1"/>
  <c r="C103" i="4"/>
  <c r="E103" i="4" s="1"/>
  <c r="L103" i="4" s="1"/>
  <c r="E103" i="3"/>
  <c r="V103" i="2"/>
  <c r="M103" i="4" s="1"/>
  <c r="D104" i="5"/>
  <c r="D104" i="3"/>
  <c r="H175" i="10"/>
  <c r="B105" i="7"/>
  <c r="B105" i="4"/>
  <c r="B105" i="5"/>
  <c r="B105" i="3"/>
  <c r="A175" i="10"/>
  <c r="G105" i="7"/>
  <c r="F105" i="5"/>
  <c r="G105" i="5" s="1"/>
  <c r="H105" i="5" s="1"/>
  <c r="I105" i="5" s="1"/>
  <c r="C105" i="4"/>
  <c r="E105" i="4" s="1"/>
  <c r="L105" i="4" s="1"/>
  <c r="E105" i="3"/>
  <c r="V105" i="2"/>
  <c r="M105" i="4" s="1"/>
  <c r="D106" i="5"/>
  <c r="D106" i="3"/>
  <c r="H177" i="10"/>
  <c r="B107" i="7"/>
  <c r="B107" i="5"/>
  <c r="B107" i="4"/>
  <c r="B107" i="3"/>
  <c r="A177" i="10"/>
  <c r="G107" i="7"/>
  <c r="F107" i="5"/>
  <c r="G107" i="5" s="1"/>
  <c r="H107" i="5" s="1"/>
  <c r="I107" i="5" s="1"/>
  <c r="C107" i="4"/>
  <c r="E107" i="4" s="1"/>
  <c r="L107" i="4" s="1"/>
  <c r="E107" i="3"/>
  <c r="V107" i="2"/>
  <c r="M107" i="4" s="1"/>
  <c r="D108" i="5"/>
  <c r="D108" i="3"/>
  <c r="H179" i="10"/>
  <c r="B109" i="7"/>
  <c r="B109" i="5"/>
  <c r="B109" i="4"/>
  <c r="B109" i="3"/>
  <c r="A179" i="10"/>
  <c r="G109" i="7"/>
  <c r="F109" i="5"/>
  <c r="G109" i="5" s="1"/>
  <c r="H109" i="5" s="1"/>
  <c r="I109" i="5" s="1"/>
  <c r="C109" i="4"/>
  <c r="E109" i="4" s="1"/>
  <c r="L109" i="4" s="1"/>
  <c r="E109" i="3"/>
  <c r="V109" i="2"/>
  <c r="M109" i="4" s="1"/>
  <c r="D110" i="5"/>
  <c r="D110" i="3"/>
  <c r="H181" i="10"/>
  <c r="B111" i="7"/>
  <c r="B111" i="5"/>
  <c r="B111" i="4"/>
  <c r="B111" i="3"/>
  <c r="G111" i="7"/>
  <c r="A181" i="10"/>
  <c r="F111" i="5"/>
  <c r="G111" i="5" s="1"/>
  <c r="H111" i="5" s="1"/>
  <c r="I111" i="5" s="1"/>
  <c r="C111" i="4"/>
  <c r="E111" i="4" s="1"/>
  <c r="L111" i="4" s="1"/>
  <c r="E111" i="3"/>
  <c r="V111" i="2"/>
  <c r="M111" i="4" s="1"/>
  <c r="D112" i="5"/>
  <c r="D112" i="3"/>
  <c r="H183" i="10"/>
  <c r="B113" i="7"/>
  <c r="B113" i="5"/>
  <c r="B113" i="4"/>
  <c r="B113" i="3"/>
  <c r="A183" i="10"/>
  <c r="G113" i="7"/>
  <c r="C113" i="4"/>
  <c r="E113" i="4" s="1"/>
  <c r="L113" i="4" s="1"/>
  <c r="E113" i="3"/>
  <c r="F113" i="5"/>
  <c r="G113" i="5" s="1"/>
  <c r="H113" i="5" s="1"/>
  <c r="I113" i="5" s="1"/>
  <c r="V113" i="2"/>
  <c r="M113" i="4" s="1"/>
  <c r="D114" i="5"/>
  <c r="D114" i="3"/>
  <c r="H185" i="10"/>
  <c r="B115" i="7"/>
  <c r="B115" i="5"/>
  <c r="B115" i="4"/>
  <c r="B115" i="3"/>
  <c r="A185" i="10"/>
  <c r="G115" i="7"/>
  <c r="F115" i="5"/>
  <c r="G115" i="5" s="1"/>
  <c r="H115" i="5" s="1"/>
  <c r="I115" i="5" s="1"/>
  <c r="C115" i="4"/>
  <c r="E115" i="4" s="1"/>
  <c r="L115" i="4" s="1"/>
  <c r="E115" i="3"/>
  <c r="V115" i="2"/>
  <c r="M115" i="4" s="1"/>
  <c r="D116" i="5"/>
  <c r="D116" i="3"/>
  <c r="H187" i="10"/>
  <c r="B117" i="7"/>
  <c r="B117" i="4"/>
  <c r="B117" i="5"/>
  <c r="B117" i="3"/>
  <c r="A187" i="10"/>
  <c r="G117" i="7"/>
  <c r="C117" i="4"/>
  <c r="E117" i="4" s="1"/>
  <c r="L117" i="4" s="1"/>
  <c r="F117" i="5"/>
  <c r="G117" i="5" s="1"/>
  <c r="H117" i="5" s="1"/>
  <c r="I117" i="5" s="1"/>
  <c r="E117" i="3"/>
  <c r="V117" i="2"/>
  <c r="M117" i="4" s="1"/>
  <c r="D118" i="5"/>
  <c r="D118" i="3"/>
  <c r="H189" i="10"/>
  <c r="B119" i="7"/>
  <c r="B119" i="5"/>
  <c r="B119" i="4"/>
  <c r="B119" i="3"/>
  <c r="A189" i="10"/>
  <c r="F119" i="5"/>
  <c r="G119" i="5" s="1"/>
  <c r="H119" i="5" s="1"/>
  <c r="I119" i="5" s="1"/>
  <c r="G119" i="7"/>
  <c r="C119" i="4"/>
  <c r="E119" i="4" s="1"/>
  <c r="L119" i="4" s="1"/>
  <c r="E119" i="3"/>
  <c r="V119" i="2"/>
  <c r="M119" i="4" s="1"/>
  <c r="D120" i="5"/>
  <c r="D120" i="3"/>
  <c r="H191" i="10"/>
  <c r="B121" i="7"/>
  <c r="B121" i="5"/>
  <c r="B121" i="4"/>
  <c r="B121" i="3"/>
  <c r="A191" i="10"/>
  <c r="G121" i="7"/>
  <c r="F121" i="5"/>
  <c r="G121" i="5" s="1"/>
  <c r="H121" i="5" s="1"/>
  <c r="I121" i="5" s="1"/>
  <c r="C121" i="4"/>
  <c r="E121" i="4" s="1"/>
  <c r="L121" i="4" s="1"/>
  <c r="E121" i="3"/>
  <c r="V121" i="2"/>
  <c r="M121" i="4" s="1"/>
  <c r="D122" i="5"/>
  <c r="D122" i="3"/>
  <c r="H193" i="10"/>
  <c r="B123" i="5"/>
  <c r="B123" i="7"/>
  <c r="B123" i="4"/>
  <c r="B123" i="3"/>
  <c r="A193" i="10"/>
  <c r="G123" i="7"/>
  <c r="F123" i="5"/>
  <c r="G123" i="5" s="1"/>
  <c r="H123" i="5" s="1"/>
  <c r="I123" i="5" s="1"/>
  <c r="C123" i="4"/>
  <c r="E123" i="4" s="1"/>
  <c r="L123" i="4" s="1"/>
  <c r="E123" i="3"/>
  <c r="V123" i="2"/>
  <c r="M123" i="4" s="1"/>
  <c r="D124" i="5"/>
  <c r="D124" i="3"/>
  <c r="B125" i="7"/>
  <c r="H195" i="10"/>
  <c r="B125" i="5"/>
  <c r="B125" i="4"/>
  <c r="B125" i="3"/>
  <c r="A195" i="10"/>
  <c r="G125" i="7"/>
  <c r="F125" i="5"/>
  <c r="G125" i="5" s="1"/>
  <c r="H125" i="5" s="1"/>
  <c r="I125" i="5" s="1"/>
  <c r="C125" i="4"/>
  <c r="E125" i="4" s="1"/>
  <c r="L125" i="4" s="1"/>
  <c r="E125" i="3"/>
  <c r="V125" i="2"/>
  <c r="M125" i="4" s="1"/>
  <c r="D126" i="5"/>
  <c r="D126" i="3"/>
  <c r="H197" i="10"/>
  <c r="B127" i="7"/>
  <c r="B127" i="5"/>
  <c r="B127" i="3"/>
  <c r="B127" i="4"/>
  <c r="A197" i="10"/>
  <c r="G127" i="7"/>
  <c r="C127" i="4"/>
  <c r="E127" i="4" s="1"/>
  <c r="L127" i="4" s="1"/>
  <c r="E127" i="3"/>
  <c r="F127" i="5"/>
  <c r="G127" i="5" s="1"/>
  <c r="H127" i="5" s="1"/>
  <c r="I127" i="5" s="1"/>
  <c r="V127" i="2"/>
  <c r="M127" i="4" s="1"/>
  <c r="D128" i="5"/>
  <c r="D128" i="3"/>
  <c r="H199" i="10"/>
  <c r="B129" i="7"/>
  <c r="B129" i="5"/>
  <c r="B129" i="4"/>
  <c r="B129" i="3"/>
  <c r="A199" i="10"/>
  <c r="G129" i="7"/>
  <c r="F129" i="5"/>
  <c r="G129" i="5" s="1"/>
  <c r="H129" i="5" s="1"/>
  <c r="I129" i="5" s="1"/>
  <c r="C129" i="4"/>
  <c r="E129" i="4" s="1"/>
  <c r="L129" i="4" s="1"/>
  <c r="E129" i="3"/>
  <c r="V129" i="2"/>
  <c r="M129" i="4" s="1"/>
  <c r="D130" i="5"/>
  <c r="D130" i="3"/>
  <c r="AD130" i="2"/>
  <c r="B201" i="10"/>
  <c r="F131" i="7"/>
  <c r="I131" i="4"/>
  <c r="H131" i="4"/>
  <c r="J131" i="4"/>
  <c r="G131" i="4"/>
  <c r="F131" i="4"/>
  <c r="R131" i="2"/>
  <c r="S131" i="2" s="1"/>
  <c r="D132" i="3"/>
  <c r="D132" i="5"/>
  <c r="AD132" i="2"/>
  <c r="B203" i="10"/>
  <c r="F133" i="7"/>
  <c r="G133" i="4"/>
  <c r="J133" i="4"/>
  <c r="F133" i="4"/>
  <c r="I133" i="4"/>
  <c r="H133" i="4"/>
  <c r="R133" i="2"/>
  <c r="S133" i="2" s="1"/>
  <c r="D134" i="5"/>
  <c r="D134" i="3"/>
  <c r="AD134" i="2"/>
  <c r="B205" i="10"/>
  <c r="F135" i="7"/>
  <c r="I135" i="4"/>
  <c r="H135" i="4"/>
  <c r="G135" i="4"/>
  <c r="F135" i="4"/>
  <c r="J135" i="4"/>
  <c r="R135" i="2"/>
  <c r="S135" i="2" s="1"/>
  <c r="D136" i="5"/>
  <c r="D136" i="3"/>
  <c r="AD136" i="2"/>
  <c r="B207" i="10"/>
  <c r="F137" i="7"/>
  <c r="G137" i="4"/>
  <c r="J137" i="4"/>
  <c r="F137" i="4"/>
  <c r="I137" i="4"/>
  <c r="H137" i="4"/>
  <c r="R137" i="2"/>
  <c r="S137" i="2" s="1"/>
  <c r="D138" i="5"/>
  <c r="D138" i="3"/>
  <c r="AD138" i="2"/>
  <c r="F139" i="7"/>
  <c r="B209" i="10"/>
  <c r="I139" i="4"/>
  <c r="H139" i="4"/>
  <c r="J139" i="4"/>
  <c r="G139" i="4"/>
  <c r="F139" i="4"/>
  <c r="R139" i="2"/>
  <c r="S139" i="2" s="1"/>
  <c r="D140" i="5"/>
  <c r="D140" i="3"/>
  <c r="AD140" i="2"/>
  <c r="B211" i="10"/>
  <c r="F141" i="7"/>
  <c r="G141" i="4"/>
  <c r="J141" i="4"/>
  <c r="F141" i="4"/>
  <c r="I141" i="4"/>
  <c r="H141" i="4"/>
  <c r="R141" i="2"/>
  <c r="S141" i="2" s="1"/>
  <c r="D142" i="5"/>
  <c r="D142" i="3"/>
  <c r="AD142" i="2"/>
  <c r="B213" i="10"/>
  <c r="F143" i="7"/>
  <c r="I143" i="4"/>
  <c r="H143" i="4"/>
  <c r="G143" i="4"/>
  <c r="F143" i="4"/>
  <c r="J143" i="4"/>
  <c r="R143" i="2"/>
  <c r="S143" i="2" s="1"/>
  <c r="D144" i="3"/>
  <c r="D144" i="5"/>
  <c r="AD144" i="2"/>
  <c r="B215" i="10"/>
  <c r="F145" i="7"/>
  <c r="G145" i="4"/>
  <c r="H145" i="4"/>
  <c r="F145" i="4"/>
  <c r="J145" i="4"/>
  <c r="I145" i="4"/>
  <c r="R145" i="2"/>
  <c r="S145" i="2" s="1"/>
  <c r="D146" i="5"/>
  <c r="D146" i="3"/>
  <c r="AD146" i="2"/>
  <c r="B217" i="10"/>
  <c r="I147" i="4"/>
  <c r="F147" i="7"/>
  <c r="H147" i="4"/>
  <c r="G147" i="4"/>
  <c r="F147" i="4"/>
  <c r="J147" i="4"/>
  <c r="R147" i="2"/>
  <c r="S147" i="2" s="1"/>
  <c r="D148" i="5"/>
  <c r="D148" i="3"/>
  <c r="AD148" i="2"/>
  <c r="B219" i="10"/>
  <c r="F149" i="7"/>
  <c r="G149" i="4"/>
  <c r="I149" i="4"/>
  <c r="H149" i="4"/>
  <c r="J149" i="4"/>
  <c r="F149" i="4"/>
  <c r="R149" i="2"/>
  <c r="S149" i="2" s="1"/>
  <c r="D150" i="5"/>
  <c r="D150" i="3"/>
  <c r="AD150" i="2"/>
  <c r="B221" i="10"/>
  <c r="F151" i="7"/>
  <c r="I151" i="4"/>
  <c r="J151" i="4"/>
  <c r="H151" i="4"/>
  <c r="G151" i="4"/>
  <c r="F151" i="4"/>
  <c r="R151" i="2"/>
  <c r="S151" i="2" s="1"/>
  <c r="D152" i="5"/>
  <c r="D152" i="3"/>
  <c r="AD152" i="2"/>
  <c r="B223" i="10"/>
  <c r="G153" i="4"/>
  <c r="J153" i="4"/>
  <c r="F153" i="7"/>
  <c r="I153" i="4"/>
  <c r="H153" i="4"/>
  <c r="F153" i="4"/>
  <c r="R153" i="2"/>
  <c r="S153" i="2" s="1"/>
  <c r="D154" i="5"/>
  <c r="D154" i="3"/>
  <c r="AD154" i="2"/>
  <c r="C47" i="5"/>
  <c r="C47" i="3"/>
  <c r="A48" i="5"/>
  <c r="A48" i="7"/>
  <c r="A48" i="4"/>
  <c r="A48" i="3"/>
  <c r="K48" i="4"/>
  <c r="I118" i="10" s="1"/>
  <c r="C49" i="5"/>
  <c r="C49" i="3"/>
  <c r="A50" i="7"/>
  <c r="A50" i="5"/>
  <c r="A50" i="4"/>
  <c r="A50" i="3"/>
  <c r="K50" i="4"/>
  <c r="I120" i="10" s="1"/>
  <c r="C51" i="5"/>
  <c r="C51" i="3"/>
  <c r="M68" i="10"/>
  <c r="C51" i="7"/>
  <c r="D51" i="7" s="1"/>
  <c r="A52" i="7"/>
  <c r="A52" i="5"/>
  <c r="A52" i="4"/>
  <c r="A52" i="3"/>
  <c r="K52" i="4"/>
  <c r="I122" i="10" s="1"/>
  <c r="C53" i="5"/>
  <c r="C53" i="3"/>
  <c r="M70" i="10"/>
  <c r="C53" i="7"/>
  <c r="D53" i="7" s="1"/>
  <c r="A54" i="5"/>
  <c r="A54" i="7"/>
  <c r="A54" i="4"/>
  <c r="A54" i="3"/>
  <c r="K54" i="4"/>
  <c r="I124" i="10" s="1"/>
  <c r="C55" i="5"/>
  <c r="C55" i="3"/>
  <c r="M72" i="10"/>
  <c r="C55" i="7"/>
  <c r="D55" i="7" s="1"/>
  <c r="A56" i="7"/>
  <c r="A56" i="5"/>
  <c r="A56" i="4"/>
  <c r="A56" i="3"/>
  <c r="K56" i="4"/>
  <c r="I126" i="10" s="1"/>
  <c r="C57" i="5"/>
  <c r="C57" i="3"/>
  <c r="M74" i="10"/>
  <c r="C57" i="7"/>
  <c r="D57" i="7" s="1"/>
  <c r="A58" i="7"/>
  <c r="A58" i="5"/>
  <c r="A58" i="4"/>
  <c r="A58" i="3"/>
  <c r="K58" i="4"/>
  <c r="I128" i="10" s="1"/>
  <c r="C59" i="5"/>
  <c r="C59" i="3"/>
  <c r="M76" i="10"/>
  <c r="C59" i="7"/>
  <c r="D59" i="7" s="1"/>
  <c r="A60" i="7"/>
  <c r="A60" i="5"/>
  <c r="A60" i="4"/>
  <c r="A60" i="3"/>
  <c r="K60" i="4"/>
  <c r="I130" i="10" s="1"/>
  <c r="C61" i="5"/>
  <c r="C61" i="3"/>
  <c r="M78" i="10"/>
  <c r="C61" i="7"/>
  <c r="D61" i="7" s="1"/>
  <c r="A62" i="7"/>
  <c r="A62" i="5"/>
  <c r="A62" i="4"/>
  <c r="A62" i="3"/>
  <c r="K62" i="4"/>
  <c r="I132" i="10" s="1"/>
  <c r="C63" i="5"/>
  <c r="C63" i="3"/>
  <c r="M80" i="10"/>
  <c r="C63" i="7"/>
  <c r="D63" i="7" s="1"/>
  <c r="A64" i="5"/>
  <c r="A64" i="7"/>
  <c r="A64" i="4"/>
  <c r="A64" i="3"/>
  <c r="K64" i="4"/>
  <c r="I134" i="10" s="1"/>
  <c r="C65" i="5"/>
  <c r="C65" i="3"/>
  <c r="M82" i="10"/>
  <c r="C65" i="7"/>
  <c r="D65" i="7" s="1"/>
  <c r="A66" i="7"/>
  <c r="A66" i="4"/>
  <c r="A66" i="5"/>
  <c r="A66" i="3"/>
  <c r="K66" i="4"/>
  <c r="I136" i="10" s="1"/>
  <c r="C67" i="5"/>
  <c r="C67" i="3"/>
  <c r="M84" i="10"/>
  <c r="C67" i="7"/>
  <c r="D67" i="7" s="1"/>
  <c r="A68" i="7"/>
  <c r="A68" i="5"/>
  <c r="A68" i="4"/>
  <c r="A68" i="3"/>
  <c r="K68" i="4"/>
  <c r="I138" i="10" s="1"/>
  <c r="C69" i="5"/>
  <c r="C69" i="3"/>
  <c r="M86" i="10"/>
  <c r="C69" i="7"/>
  <c r="D69" i="7" s="1"/>
  <c r="A70" i="7"/>
  <c r="A70" i="5"/>
  <c r="A70" i="4"/>
  <c r="A70" i="3"/>
  <c r="K70" i="4"/>
  <c r="I140" i="10" s="1"/>
  <c r="C71" i="5"/>
  <c r="C71" i="3"/>
  <c r="M88" i="10"/>
  <c r="C71" i="7"/>
  <c r="D71" i="7" s="1"/>
  <c r="A72" i="7"/>
  <c r="A72" i="5"/>
  <c r="A72" i="4"/>
  <c r="A72" i="3"/>
  <c r="K72" i="4"/>
  <c r="I142" i="10" s="1"/>
  <c r="C73" i="5"/>
  <c r="C73" i="3"/>
  <c r="M90" i="10"/>
  <c r="C73" i="7"/>
  <c r="D73" i="7" s="1"/>
  <c r="A74" i="7"/>
  <c r="A74" i="5"/>
  <c r="A74" i="4"/>
  <c r="A74" i="3"/>
  <c r="K74" i="4"/>
  <c r="I144" i="10" s="1"/>
  <c r="C75" i="5"/>
  <c r="C75" i="3"/>
  <c r="M92" i="10"/>
  <c r="C75" i="7"/>
  <c r="D75" i="7" s="1"/>
  <c r="A76" i="7"/>
  <c r="A76" i="5"/>
  <c r="A76" i="3"/>
  <c r="A76" i="4"/>
  <c r="K76" i="4"/>
  <c r="I146" i="10" s="1"/>
  <c r="C77" i="5"/>
  <c r="C77" i="3"/>
  <c r="M94" i="10"/>
  <c r="C77" i="7"/>
  <c r="D77" i="7" s="1"/>
  <c r="A78" i="7"/>
  <c r="A78" i="4"/>
  <c r="A78" i="5"/>
  <c r="A78" i="3"/>
  <c r="K78" i="4"/>
  <c r="I148" i="10" s="1"/>
  <c r="C79" i="5"/>
  <c r="C79" i="3"/>
  <c r="M96" i="10"/>
  <c r="C79" i="7"/>
  <c r="D79" i="7" s="1"/>
  <c r="A80" i="5"/>
  <c r="A80" i="7"/>
  <c r="A80" i="4"/>
  <c r="A80" i="3"/>
  <c r="K80" i="4"/>
  <c r="I150" i="10" s="1"/>
  <c r="C81" i="5"/>
  <c r="C81" i="3"/>
  <c r="M98" i="10"/>
  <c r="C81" i="7"/>
  <c r="D81" i="7" s="1"/>
  <c r="A82" i="7"/>
  <c r="A82" i="5"/>
  <c r="A82" i="4"/>
  <c r="A82" i="3"/>
  <c r="K82" i="4"/>
  <c r="I152" i="10" s="1"/>
  <c r="C83" i="5"/>
  <c r="C83" i="3"/>
  <c r="M100" i="10"/>
  <c r="C83" i="7"/>
  <c r="D83" i="7" s="1"/>
  <c r="A84" i="7"/>
  <c r="A84" i="5"/>
  <c r="A84" i="4"/>
  <c r="A84" i="3"/>
  <c r="K84" i="4"/>
  <c r="I154" i="10" s="1"/>
  <c r="C85" i="5"/>
  <c r="C85" i="3"/>
  <c r="C85" i="7"/>
  <c r="D85" i="7" s="1"/>
  <c r="M102" i="10"/>
  <c r="A86" i="7"/>
  <c r="A86" i="5"/>
  <c r="A86" i="4"/>
  <c r="A86" i="3"/>
  <c r="K86" i="4"/>
  <c r="I156" i="10" s="1"/>
  <c r="C87" i="5"/>
  <c r="C87" i="3"/>
  <c r="A88" i="7"/>
  <c r="A88" i="5"/>
  <c r="A88" i="4"/>
  <c r="A88" i="3"/>
  <c r="K88" i="4"/>
  <c r="I158" i="10" s="1"/>
  <c r="C89" i="5"/>
  <c r="C89" i="3"/>
  <c r="A90" i="5"/>
  <c r="A90" i="4"/>
  <c r="A90" i="7"/>
  <c r="A90" i="3"/>
  <c r="K90" i="4"/>
  <c r="I160" i="10" s="1"/>
  <c r="C91" i="5"/>
  <c r="C91" i="3"/>
  <c r="M108" i="10"/>
  <c r="C91" i="7"/>
  <c r="D91" i="7" s="1"/>
  <c r="A92" i="7"/>
  <c r="A92" i="4"/>
  <c r="A92" i="3"/>
  <c r="A92" i="5"/>
  <c r="K92" i="4"/>
  <c r="I162" i="10" s="1"/>
  <c r="C93" i="5"/>
  <c r="C93" i="3"/>
  <c r="C93" i="7"/>
  <c r="D93" i="7" s="1"/>
  <c r="M110" i="10"/>
  <c r="A94" i="7"/>
  <c r="A94" i="5"/>
  <c r="A94" i="4"/>
  <c r="A94" i="3"/>
  <c r="K94" i="4"/>
  <c r="I164" i="10" s="1"/>
  <c r="C95" i="5"/>
  <c r="C95" i="3"/>
  <c r="M112" i="10"/>
  <c r="C95" i="7"/>
  <c r="D95" i="7" s="1"/>
  <c r="A96" i="7"/>
  <c r="A96" i="5"/>
  <c r="A96" i="4"/>
  <c r="A96" i="3"/>
  <c r="K96" i="4"/>
  <c r="I166" i="10" s="1"/>
  <c r="C97" i="5"/>
  <c r="C97" i="3"/>
  <c r="C97" i="7"/>
  <c r="D97" i="7" s="1"/>
  <c r="M114" i="10"/>
  <c r="A98" i="7"/>
  <c r="A98" i="4"/>
  <c r="A98" i="5"/>
  <c r="A98" i="3"/>
  <c r="K98" i="4"/>
  <c r="I168" i="10" s="1"/>
  <c r="C99" i="5"/>
  <c r="C99" i="3"/>
  <c r="M116" i="10"/>
  <c r="C99" i="7"/>
  <c r="D99" i="7" s="1"/>
  <c r="A100" i="7"/>
  <c r="A100" i="5"/>
  <c r="A100" i="4"/>
  <c r="A100" i="3"/>
  <c r="K100" i="4"/>
  <c r="I170" i="10" s="1"/>
  <c r="C101" i="5"/>
  <c r="C101" i="3"/>
  <c r="C101" i="7"/>
  <c r="D101" i="7" s="1"/>
  <c r="M118" i="10"/>
  <c r="A102" i="7"/>
  <c r="A102" i="5"/>
  <c r="A102" i="4"/>
  <c r="A102" i="3"/>
  <c r="K102" i="4"/>
  <c r="I172" i="10" s="1"/>
  <c r="C103" i="5"/>
  <c r="C103" i="3"/>
  <c r="M120" i="10"/>
  <c r="C103" i="7"/>
  <c r="D103" i="7" s="1"/>
  <c r="A104" i="7"/>
  <c r="A104" i="4"/>
  <c r="A104" i="5"/>
  <c r="A104" i="3"/>
  <c r="K104" i="4"/>
  <c r="I174" i="10" s="1"/>
  <c r="C105" i="5"/>
  <c r="C105" i="3"/>
  <c r="C105" i="7"/>
  <c r="D105" i="7" s="1"/>
  <c r="M122" i="10"/>
  <c r="A106" i="7"/>
  <c r="A106" i="5"/>
  <c r="A106" i="4"/>
  <c r="A106" i="3"/>
  <c r="K106" i="4"/>
  <c r="I176" i="10" s="1"/>
  <c r="C107" i="5"/>
  <c r="C107" i="3"/>
  <c r="M124" i="10"/>
  <c r="C107" i="7"/>
  <c r="D107" i="7" s="1"/>
  <c r="A108" i="7"/>
  <c r="A108" i="5"/>
  <c r="A108" i="3"/>
  <c r="A108" i="4"/>
  <c r="K108" i="4"/>
  <c r="I178" i="10" s="1"/>
  <c r="C109" i="5"/>
  <c r="C109" i="3"/>
  <c r="C109" i="7"/>
  <c r="D109" i="7" s="1"/>
  <c r="M126" i="10"/>
  <c r="A110" i="7"/>
  <c r="A110" i="4"/>
  <c r="A110" i="5"/>
  <c r="A110" i="3"/>
  <c r="K110" i="4"/>
  <c r="I180" i="10" s="1"/>
  <c r="C111" i="5"/>
  <c r="C111" i="3"/>
  <c r="M128" i="10"/>
  <c r="C111" i="7"/>
  <c r="D111" i="7" s="1"/>
  <c r="A112" i="7"/>
  <c r="A112" i="5"/>
  <c r="A112" i="4"/>
  <c r="A112" i="3"/>
  <c r="K112" i="4"/>
  <c r="I182" i="10" s="1"/>
  <c r="C113" i="5"/>
  <c r="C113" i="3"/>
  <c r="M130" i="10"/>
  <c r="C113" i="7"/>
  <c r="D113" i="7" s="1"/>
  <c r="A114" i="7"/>
  <c r="A114" i="5"/>
  <c r="A114" i="4"/>
  <c r="A114" i="3"/>
  <c r="K114" i="4"/>
  <c r="I184" i="10" s="1"/>
  <c r="C115" i="5"/>
  <c r="C115" i="3"/>
  <c r="C115" i="7"/>
  <c r="D115" i="7" s="1"/>
  <c r="M132" i="10"/>
  <c r="A116" i="7"/>
  <c r="A116" i="5"/>
  <c r="A116" i="4"/>
  <c r="A116" i="3"/>
  <c r="K116" i="4"/>
  <c r="I186" i="10" s="1"/>
  <c r="C117" i="5"/>
  <c r="C117" i="3"/>
  <c r="M134" i="10"/>
  <c r="C117" i="7"/>
  <c r="D117" i="7" s="1"/>
  <c r="A118" i="7"/>
  <c r="A118" i="5"/>
  <c r="A118" i="4"/>
  <c r="A118" i="3"/>
  <c r="K118" i="4"/>
  <c r="I188" i="10" s="1"/>
  <c r="C119" i="5"/>
  <c r="C119" i="3"/>
  <c r="M136" i="10"/>
  <c r="C119" i="7"/>
  <c r="D119" i="7" s="1"/>
  <c r="A120" i="7"/>
  <c r="A120" i="5"/>
  <c r="A120" i="4"/>
  <c r="A120" i="3"/>
  <c r="K120" i="4"/>
  <c r="I190" i="10" s="1"/>
  <c r="C121" i="5"/>
  <c r="C121" i="3"/>
  <c r="M138" i="10"/>
  <c r="C121" i="7"/>
  <c r="D121" i="7" s="1"/>
  <c r="A122" i="7"/>
  <c r="A122" i="5"/>
  <c r="A122" i="4"/>
  <c r="A122" i="3"/>
  <c r="K122" i="4"/>
  <c r="I192" i="10" s="1"/>
  <c r="C123" i="5"/>
  <c r="C123" i="3"/>
  <c r="M140" i="10"/>
  <c r="C123" i="7"/>
  <c r="D123" i="7" s="1"/>
  <c r="A124" i="7"/>
  <c r="A124" i="5"/>
  <c r="A124" i="4"/>
  <c r="A124" i="3"/>
  <c r="K124" i="4"/>
  <c r="I194" i="10" s="1"/>
  <c r="C125" i="5"/>
  <c r="C125" i="3"/>
  <c r="M142" i="10"/>
  <c r="C125" i="7"/>
  <c r="D125" i="7" s="1"/>
  <c r="A126" i="7"/>
  <c r="A126" i="5"/>
  <c r="A126" i="4"/>
  <c r="A126" i="3"/>
  <c r="K126" i="4"/>
  <c r="I196" i="10" s="1"/>
  <c r="C127" i="5"/>
  <c r="C127" i="3"/>
  <c r="M144" i="10"/>
  <c r="C127" i="7"/>
  <c r="D127" i="7" s="1"/>
  <c r="A128" i="7"/>
  <c r="A128" i="5"/>
  <c r="A128" i="4"/>
  <c r="A128" i="3"/>
  <c r="K128" i="4"/>
  <c r="I198" i="10" s="1"/>
  <c r="C129" i="5"/>
  <c r="C129" i="3"/>
  <c r="M146" i="10"/>
  <c r="C129" i="7"/>
  <c r="D129" i="7" s="1"/>
  <c r="A130" i="7"/>
  <c r="A130" i="4"/>
  <c r="A130" i="3"/>
  <c r="A130" i="5"/>
  <c r="H201" i="10"/>
  <c r="B131" i="7"/>
  <c r="B131" i="5"/>
  <c r="B131" i="4"/>
  <c r="B131" i="3"/>
  <c r="A201" i="10"/>
  <c r="G131" i="7"/>
  <c r="F131" i="5"/>
  <c r="G131" i="5" s="1"/>
  <c r="H131" i="5" s="1"/>
  <c r="I131" i="5" s="1"/>
  <c r="C131" i="4"/>
  <c r="E131" i="4" s="1"/>
  <c r="L131" i="4" s="1"/>
  <c r="E131" i="3"/>
  <c r="A132" i="7"/>
  <c r="A132" i="5"/>
  <c r="A132" i="4"/>
  <c r="A132" i="3"/>
  <c r="H203" i="10"/>
  <c r="B133" i="7"/>
  <c r="B133" i="5"/>
  <c r="B133" i="4"/>
  <c r="B133" i="3"/>
  <c r="A203" i="10"/>
  <c r="G133" i="7"/>
  <c r="C133" i="4"/>
  <c r="E133" i="4" s="1"/>
  <c r="E133" i="3"/>
  <c r="F133" i="5"/>
  <c r="G133" i="5" s="1"/>
  <c r="H133" i="5" s="1"/>
  <c r="I133" i="5" s="1"/>
  <c r="A134" i="7"/>
  <c r="A134" i="5"/>
  <c r="A134" i="4"/>
  <c r="A134" i="3"/>
  <c r="H205" i="10"/>
  <c r="B135" i="7"/>
  <c r="B135" i="5"/>
  <c r="B135" i="3"/>
  <c r="B135" i="4"/>
  <c r="A205" i="10"/>
  <c r="G135" i="7"/>
  <c r="F135" i="5"/>
  <c r="G135" i="5" s="1"/>
  <c r="H135" i="5" s="1"/>
  <c r="I135" i="5" s="1"/>
  <c r="C135" i="4"/>
  <c r="E135" i="4" s="1"/>
  <c r="L135" i="4" s="1"/>
  <c r="E135" i="3"/>
  <c r="A136" i="7"/>
  <c r="A136" i="5"/>
  <c r="A136" i="4"/>
  <c r="A136" i="3"/>
  <c r="H207" i="10"/>
  <c r="B137" i="7"/>
  <c r="B137" i="4"/>
  <c r="B137" i="3"/>
  <c r="B137" i="5"/>
  <c r="A207" i="10"/>
  <c r="G137" i="7"/>
  <c r="F137" i="5"/>
  <c r="G137" i="5" s="1"/>
  <c r="H137" i="5" s="1"/>
  <c r="I137" i="5" s="1"/>
  <c r="C137" i="4"/>
  <c r="E137" i="4" s="1"/>
  <c r="E137" i="3"/>
  <c r="A138" i="7"/>
  <c r="A138" i="5"/>
  <c r="A138" i="4"/>
  <c r="A138" i="3"/>
  <c r="H209" i="10"/>
  <c r="B139" i="7"/>
  <c r="B139" i="5"/>
  <c r="B139" i="4"/>
  <c r="B139" i="3"/>
  <c r="A209" i="10"/>
  <c r="G139" i="7"/>
  <c r="C139" i="4"/>
  <c r="E139" i="4" s="1"/>
  <c r="F139" i="5"/>
  <c r="G139" i="5" s="1"/>
  <c r="H139" i="5" s="1"/>
  <c r="I139" i="5" s="1"/>
  <c r="E139" i="3"/>
  <c r="A140" i="7"/>
  <c r="A140" i="5"/>
  <c r="A140" i="3"/>
  <c r="A140" i="4"/>
  <c r="H211" i="10"/>
  <c r="B141" i="7"/>
  <c r="B141" i="5"/>
  <c r="B141" i="4"/>
  <c r="B141" i="3"/>
  <c r="A211" i="10"/>
  <c r="G141" i="7"/>
  <c r="F141" i="5"/>
  <c r="G141" i="5" s="1"/>
  <c r="H141" i="5" s="1"/>
  <c r="I141" i="5" s="1"/>
  <c r="C141" i="4"/>
  <c r="E141" i="4" s="1"/>
  <c r="E141" i="3"/>
  <c r="A142" i="7"/>
  <c r="A142" i="4"/>
  <c r="A142" i="3"/>
  <c r="A142" i="5"/>
  <c r="H213" i="10"/>
  <c r="B143" i="7"/>
  <c r="B143" i="5"/>
  <c r="B143" i="3"/>
  <c r="B143" i="4"/>
  <c r="A213" i="10"/>
  <c r="G143" i="7"/>
  <c r="F143" i="5"/>
  <c r="G143" i="5" s="1"/>
  <c r="H143" i="5" s="1"/>
  <c r="I143" i="5" s="1"/>
  <c r="C143" i="4"/>
  <c r="E143" i="4" s="1"/>
  <c r="L143" i="4" s="1"/>
  <c r="E143" i="3"/>
  <c r="A144" i="7"/>
  <c r="A144" i="5"/>
  <c r="A144" i="4"/>
  <c r="A144" i="3"/>
  <c r="H215" i="10"/>
  <c r="B145" i="7"/>
  <c r="B145" i="5"/>
  <c r="B145" i="4"/>
  <c r="B145" i="3"/>
  <c r="A215" i="10"/>
  <c r="G145" i="7"/>
  <c r="C145" i="4"/>
  <c r="E145" i="4" s="1"/>
  <c r="F145" i="5"/>
  <c r="G145" i="5" s="1"/>
  <c r="H145" i="5" s="1"/>
  <c r="I145" i="5" s="1"/>
  <c r="E145" i="3"/>
  <c r="A146" i="7"/>
  <c r="A146" i="5"/>
  <c r="A146" i="3"/>
  <c r="A146" i="4"/>
  <c r="H217" i="10"/>
  <c r="B147" i="7"/>
  <c r="B147" i="5"/>
  <c r="B147" i="4"/>
  <c r="B147" i="3"/>
  <c r="G147" i="7"/>
  <c r="A217" i="10"/>
  <c r="F147" i="5"/>
  <c r="G147" i="5" s="1"/>
  <c r="H147" i="5" s="1"/>
  <c r="I147" i="5" s="1"/>
  <c r="C147" i="4"/>
  <c r="E147" i="4" s="1"/>
  <c r="L147" i="4" s="1"/>
  <c r="E147" i="3"/>
  <c r="A148" i="7"/>
  <c r="A148" i="5"/>
  <c r="A148" i="4"/>
  <c r="A148" i="3"/>
  <c r="H219" i="10"/>
  <c r="B149" i="4"/>
  <c r="B149" i="7"/>
  <c r="B149" i="5"/>
  <c r="B149" i="3"/>
  <c r="A219" i="10"/>
  <c r="G149" i="7"/>
  <c r="C149" i="4"/>
  <c r="E149" i="4" s="1"/>
  <c r="F149" i="5"/>
  <c r="G149" i="5" s="1"/>
  <c r="H149" i="5" s="1"/>
  <c r="I149" i="5" s="1"/>
  <c r="E149" i="3"/>
  <c r="A150" i="7"/>
  <c r="A150" i="5"/>
  <c r="A150" i="4"/>
  <c r="A150" i="3"/>
  <c r="H221" i="10"/>
  <c r="B151" i="7"/>
  <c r="B151" i="5"/>
  <c r="B151" i="3"/>
  <c r="B151" i="4"/>
  <c r="A221" i="10"/>
  <c r="G151" i="7"/>
  <c r="F151" i="5"/>
  <c r="G151" i="5" s="1"/>
  <c r="H151" i="5" s="1"/>
  <c r="I151" i="5" s="1"/>
  <c r="C151" i="4"/>
  <c r="E151" i="4" s="1"/>
  <c r="L151" i="4" s="1"/>
  <c r="E151" i="3"/>
  <c r="A152" i="7"/>
  <c r="A152" i="5"/>
  <c r="A152" i="4"/>
  <c r="A152" i="3"/>
  <c r="H223" i="10"/>
  <c r="B153" i="7"/>
  <c r="B153" i="5"/>
  <c r="B153" i="4"/>
  <c r="B153" i="3"/>
  <c r="A223" i="10"/>
  <c r="G153" i="7"/>
  <c r="C153" i="4"/>
  <c r="E153" i="4" s="1"/>
  <c r="F153" i="5"/>
  <c r="G153" i="5" s="1"/>
  <c r="H153" i="5" s="1"/>
  <c r="I153" i="5" s="1"/>
  <c r="E153" i="3"/>
  <c r="A154" i="7"/>
  <c r="A154" i="5"/>
  <c r="A154" i="4"/>
  <c r="A154" i="3"/>
  <c r="C132" i="3"/>
  <c r="M147" i="10"/>
  <c r="C130" i="7"/>
  <c r="D130" i="7" s="1"/>
  <c r="A131" i="7"/>
  <c r="A131" i="5"/>
  <c r="A131" i="4"/>
  <c r="M149" i="10"/>
  <c r="C132" i="7"/>
  <c r="D132" i="7" s="1"/>
  <c r="A133" i="7"/>
  <c r="A133" i="5"/>
  <c r="M151" i="10"/>
  <c r="C134" i="7"/>
  <c r="D134" i="7" s="1"/>
  <c r="A135" i="7"/>
  <c r="A135" i="5"/>
  <c r="A135" i="4"/>
  <c r="M153" i="10"/>
  <c r="C136" i="7"/>
  <c r="D136" i="7" s="1"/>
  <c r="A137" i="5"/>
  <c r="A137" i="7"/>
  <c r="M155" i="10"/>
  <c r="C138" i="7"/>
  <c r="D138" i="7" s="1"/>
  <c r="A139" i="7"/>
  <c r="A139" i="5"/>
  <c r="A139" i="4"/>
  <c r="C140" i="7"/>
  <c r="D140" i="7" s="1"/>
  <c r="M157" i="10"/>
  <c r="A141" i="5"/>
  <c r="A141" i="7"/>
  <c r="M159" i="10"/>
  <c r="C142" i="7"/>
  <c r="D142" i="7" s="1"/>
  <c r="A143" i="7"/>
  <c r="A143" i="4"/>
  <c r="M161" i="10"/>
  <c r="C144" i="7"/>
  <c r="D144" i="7" s="1"/>
  <c r="A145" i="5"/>
  <c r="A145" i="7"/>
  <c r="A145" i="4"/>
  <c r="M163" i="10"/>
  <c r="C146" i="7"/>
  <c r="D146" i="7" s="1"/>
  <c r="A147" i="7"/>
  <c r="A147" i="4"/>
  <c r="A147" i="5"/>
  <c r="M165" i="10"/>
  <c r="C148" i="7"/>
  <c r="D148" i="7" s="1"/>
  <c r="A149" i="7"/>
  <c r="A149" i="5"/>
  <c r="M167" i="10"/>
  <c r="C150" i="7"/>
  <c r="D150" i="7" s="1"/>
  <c r="A151" i="7"/>
  <c r="A151" i="4"/>
  <c r="A151" i="5"/>
  <c r="C152" i="5"/>
  <c r="C152" i="3"/>
  <c r="M169" i="10"/>
  <c r="C152" i="7"/>
  <c r="D152" i="7" s="1"/>
  <c r="A153" i="7"/>
  <c r="A153" i="5"/>
  <c r="M171" i="10"/>
  <c r="C154" i="7"/>
  <c r="D154" i="7" s="1"/>
  <c r="A133" i="3"/>
  <c r="A137" i="3"/>
  <c r="A141" i="3"/>
  <c r="A145" i="3"/>
  <c r="A149" i="3"/>
  <c r="A153" i="3"/>
  <c r="A133" i="4"/>
  <c r="A141" i="4"/>
  <c r="A149" i="4"/>
  <c r="M11" i="4" l="1"/>
  <c r="H23" i="6"/>
  <c r="H11" i="6"/>
  <c r="M6" i="4"/>
  <c r="H12" i="6"/>
  <c r="L150" i="4"/>
  <c r="N151" i="10"/>
  <c r="E134" i="7"/>
  <c r="F134" i="3"/>
  <c r="U134" i="2"/>
  <c r="L134" i="4"/>
  <c r="K134" i="4"/>
  <c r="I204" i="10" s="1"/>
  <c r="N161" i="10"/>
  <c r="E144" i="7"/>
  <c r="F144" i="3"/>
  <c r="U144" i="2"/>
  <c r="K144" i="4"/>
  <c r="I214" i="10" s="1"/>
  <c r="L136" i="4"/>
  <c r="L130" i="4"/>
  <c r="L124" i="4"/>
  <c r="N139" i="10"/>
  <c r="E122" i="7"/>
  <c r="F122" i="3"/>
  <c r="U122" i="2"/>
  <c r="L116" i="4"/>
  <c r="N131" i="10"/>
  <c r="E114" i="7"/>
  <c r="F114" i="3"/>
  <c r="U114" i="2"/>
  <c r="L108" i="4"/>
  <c r="N123" i="10"/>
  <c r="E106" i="7"/>
  <c r="F106" i="3"/>
  <c r="U106" i="2"/>
  <c r="L100" i="4"/>
  <c r="N115" i="10"/>
  <c r="E98" i="7"/>
  <c r="F98" i="3"/>
  <c r="U98" i="2"/>
  <c r="L92" i="4"/>
  <c r="E90" i="7"/>
  <c r="F90" i="3"/>
  <c r="U90" i="2"/>
  <c r="L84" i="4"/>
  <c r="N99" i="10"/>
  <c r="E82" i="7"/>
  <c r="F82" i="3"/>
  <c r="U82" i="2"/>
  <c r="L76" i="4"/>
  <c r="N91" i="10"/>
  <c r="E74" i="7"/>
  <c r="F74" i="3"/>
  <c r="U74" i="2"/>
  <c r="L68" i="4"/>
  <c r="N83" i="10"/>
  <c r="E66" i="7"/>
  <c r="F66" i="3"/>
  <c r="U66" i="2"/>
  <c r="L60" i="4"/>
  <c r="N75" i="10"/>
  <c r="E58" i="7"/>
  <c r="F58" i="3"/>
  <c r="U58" i="2"/>
  <c r="L52" i="4"/>
  <c r="N67" i="10"/>
  <c r="E50" i="7"/>
  <c r="F50" i="3"/>
  <c r="U50" i="2"/>
  <c r="E45" i="7"/>
  <c r="F45" i="3"/>
  <c r="U45" i="2"/>
  <c r="B114" i="10"/>
  <c r="F44" i="7"/>
  <c r="H44" i="4"/>
  <c r="G44" i="4"/>
  <c r="F44" i="4"/>
  <c r="J44" i="4"/>
  <c r="I44" i="4"/>
  <c r="R44" i="2"/>
  <c r="S44" i="2" s="1"/>
  <c r="D40" i="4"/>
  <c r="W40" i="2"/>
  <c r="D36" i="4"/>
  <c r="W36" i="2"/>
  <c r="N155" i="10"/>
  <c r="E138" i="7"/>
  <c r="F138" i="3"/>
  <c r="U138" i="2"/>
  <c r="D31" i="4"/>
  <c r="K31" i="4" s="1"/>
  <c r="I101" i="10" s="1"/>
  <c r="W31" i="2"/>
  <c r="F28" i="5"/>
  <c r="G28" i="5" s="1"/>
  <c r="H28" i="5" s="1"/>
  <c r="I28" i="5" s="1"/>
  <c r="G28" i="7"/>
  <c r="C28" i="4"/>
  <c r="E28" i="4" s="1"/>
  <c r="E28" i="3"/>
  <c r="V28" i="2"/>
  <c r="M28" i="4" s="1"/>
  <c r="AF28" i="2"/>
  <c r="B9" i="9"/>
  <c r="G5" i="3"/>
  <c r="E5" i="6"/>
  <c r="F5" i="6" s="1"/>
  <c r="E8" i="6"/>
  <c r="F8" i="6" s="1"/>
  <c r="H9" i="6"/>
  <c r="F18" i="10"/>
  <c r="B79" i="10"/>
  <c r="F9" i="7"/>
  <c r="J9" i="4"/>
  <c r="F9" i="4"/>
  <c r="G9" i="4"/>
  <c r="I9" i="4"/>
  <c r="H9" i="4"/>
  <c r="R9" i="2"/>
  <c r="L148" i="4"/>
  <c r="L31" i="4"/>
  <c r="D30" i="4"/>
  <c r="W30" i="2"/>
  <c r="D24" i="4"/>
  <c r="K24" i="4" s="1"/>
  <c r="I94" i="10" s="1"/>
  <c r="W24" i="2"/>
  <c r="D16" i="4"/>
  <c r="W16" i="2"/>
  <c r="B82" i="10"/>
  <c r="F12" i="7"/>
  <c r="G12" i="4"/>
  <c r="J12" i="4"/>
  <c r="I12" i="4"/>
  <c r="H12" i="4"/>
  <c r="F12" i="4"/>
  <c r="L12" i="4" s="1"/>
  <c r="R12" i="2"/>
  <c r="B78" i="10"/>
  <c r="F8" i="7"/>
  <c r="G8" i="4"/>
  <c r="I8" i="4"/>
  <c r="H8" i="4"/>
  <c r="F8" i="4"/>
  <c r="K8" i="4" s="1"/>
  <c r="I78" i="10" s="1"/>
  <c r="J8" i="4"/>
  <c r="R8" i="2"/>
  <c r="B18" i="6"/>
  <c r="B20" i="6"/>
  <c r="E20" i="6" s="1"/>
  <c r="F20" i="6" s="1"/>
  <c r="H17" i="6"/>
  <c r="E76" i="10"/>
  <c r="B18" i="10"/>
  <c r="E81" i="10"/>
  <c r="J95" i="10"/>
  <c r="X25" i="2"/>
  <c r="U39" i="2"/>
  <c r="U31" i="2"/>
  <c r="K23" i="4"/>
  <c r="I93" i="10" s="1"/>
  <c r="M5" i="4"/>
  <c r="G5" i="5"/>
  <c r="H5" i="5" s="1"/>
  <c r="I5" i="5" s="1"/>
  <c r="E6" i="8"/>
  <c r="S5" i="2"/>
  <c r="V9" i="2"/>
  <c r="K44" i="4"/>
  <c r="I114" i="10" s="1"/>
  <c r="N40" i="10"/>
  <c r="E23" i="7"/>
  <c r="F23" i="3"/>
  <c r="U23" i="2"/>
  <c r="V12" i="2"/>
  <c r="K25" i="4"/>
  <c r="I95" i="10" s="1"/>
  <c r="W18" i="2"/>
  <c r="G22" i="6" s="1"/>
  <c r="N32" i="10"/>
  <c r="E15" i="7"/>
  <c r="F15" i="3"/>
  <c r="U15" i="2"/>
  <c r="L22" i="4"/>
  <c r="N34" i="10"/>
  <c r="E17" i="7"/>
  <c r="F17" i="3"/>
  <c r="U17" i="2"/>
  <c r="L13" i="4"/>
  <c r="J221" i="10"/>
  <c r="X151" i="2"/>
  <c r="J213" i="10"/>
  <c r="X143" i="2"/>
  <c r="J201" i="10"/>
  <c r="X131" i="2"/>
  <c r="L139" i="4"/>
  <c r="N170" i="10"/>
  <c r="E153" i="7"/>
  <c r="F153" i="3"/>
  <c r="U153" i="2"/>
  <c r="J197" i="10"/>
  <c r="X127" i="2"/>
  <c r="J133" i="10"/>
  <c r="X63" i="2"/>
  <c r="D153" i="4"/>
  <c r="K153" i="4" s="1"/>
  <c r="I223" i="10" s="1"/>
  <c r="W153" i="2"/>
  <c r="L141" i="4"/>
  <c r="L137" i="4"/>
  <c r="N164" i="10"/>
  <c r="E147" i="7"/>
  <c r="U147" i="2"/>
  <c r="F147" i="3"/>
  <c r="N156" i="10"/>
  <c r="E139" i="7"/>
  <c r="U139" i="2"/>
  <c r="F139" i="3"/>
  <c r="N148" i="10"/>
  <c r="E131" i="7"/>
  <c r="F29" i="10"/>
  <c r="U131" i="2"/>
  <c r="F131" i="3"/>
  <c r="J193" i="10"/>
  <c r="X123" i="2"/>
  <c r="J187" i="10"/>
  <c r="X117" i="2"/>
  <c r="J185" i="10"/>
  <c r="X115" i="2"/>
  <c r="J177" i="10"/>
  <c r="X107" i="2"/>
  <c r="J171" i="10"/>
  <c r="X101" i="2"/>
  <c r="J169" i="10"/>
  <c r="X99" i="2"/>
  <c r="J161" i="10"/>
  <c r="X91" i="2"/>
  <c r="J155" i="10"/>
  <c r="X85" i="2"/>
  <c r="J153" i="10"/>
  <c r="X83" i="2"/>
  <c r="J139" i="10"/>
  <c r="X69" i="2"/>
  <c r="J137" i="10"/>
  <c r="X67" i="2"/>
  <c r="J129" i="10"/>
  <c r="X59" i="2"/>
  <c r="J123" i="10"/>
  <c r="X53" i="2"/>
  <c r="J121" i="10"/>
  <c r="X51" i="2"/>
  <c r="D149" i="4"/>
  <c r="K149" i="4" s="1"/>
  <c r="I219" i="10" s="1"/>
  <c r="W149" i="2"/>
  <c r="D141" i="4"/>
  <c r="K141" i="4" s="1"/>
  <c r="I211" i="10" s="1"/>
  <c r="W141" i="2"/>
  <c r="D137" i="4"/>
  <c r="K137" i="4" s="1"/>
  <c r="I207" i="10" s="1"/>
  <c r="W137" i="2"/>
  <c r="D133" i="4"/>
  <c r="K133" i="4" s="1"/>
  <c r="I203" i="10" s="1"/>
  <c r="W133" i="2"/>
  <c r="D129" i="4"/>
  <c r="K129" i="4" s="1"/>
  <c r="I199" i="10" s="1"/>
  <c r="W129" i="2"/>
  <c r="D125" i="4"/>
  <c r="K125" i="4" s="1"/>
  <c r="I195" i="10" s="1"/>
  <c r="W125" i="2"/>
  <c r="D121" i="4"/>
  <c r="K121" i="4" s="1"/>
  <c r="I191" i="10" s="1"/>
  <c r="W121" i="2"/>
  <c r="D117" i="4"/>
  <c r="K117" i="4" s="1"/>
  <c r="I187" i="10" s="1"/>
  <c r="W117" i="2"/>
  <c r="D113" i="4"/>
  <c r="K113" i="4" s="1"/>
  <c r="I183" i="10" s="1"/>
  <c r="W113" i="2"/>
  <c r="D109" i="4"/>
  <c r="K109" i="4" s="1"/>
  <c r="I179" i="10" s="1"/>
  <c r="W109" i="2"/>
  <c r="D105" i="4"/>
  <c r="K105" i="4" s="1"/>
  <c r="I175" i="10" s="1"/>
  <c r="W105" i="2"/>
  <c r="D101" i="4"/>
  <c r="K101" i="4" s="1"/>
  <c r="I171" i="10" s="1"/>
  <c r="W101" i="2"/>
  <c r="D97" i="4"/>
  <c r="K97" i="4" s="1"/>
  <c r="I167" i="10" s="1"/>
  <c r="W97" i="2"/>
  <c r="D93" i="4"/>
  <c r="K93" i="4" s="1"/>
  <c r="I163" i="10" s="1"/>
  <c r="W93" i="2"/>
  <c r="D85" i="4"/>
  <c r="K85" i="4" s="1"/>
  <c r="I155" i="10" s="1"/>
  <c r="W85" i="2"/>
  <c r="D81" i="4"/>
  <c r="K81" i="4" s="1"/>
  <c r="I151" i="10" s="1"/>
  <c r="W81" i="2"/>
  <c r="D77" i="4"/>
  <c r="K77" i="4" s="1"/>
  <c r="I147" i="10" s="1"/>
  <c r="W77" i="2"/>
  <c r="D73" i="4"/>
  <c r="K73" i="4" s="1"/>
  <c r="I143" i="10" s="1"/>
  <c r="W73" i="2"/>
  <c r="D69" i="4"/>
  <c r="K69" i="4" s="1"/>
  <c r="I139" i="10" s="1"/>
  <c r="W69" i="2"/>
  <c r="D65" i="4"/>
  <c r="K65" i="4" s="1"/>
  <c r="I135" i="10" s="1"/>
  <c r="W65" i="2"/>
  <c r="D61" i="4"/>
  <c r="K61" i="4" s="1"/>
  <c r="I131" i="10" s="1"/>
  <c r="W61" i="2"/>
  <c r="D57" i="4"/>
  <c r="K57" i="4" s="1"/>
  <c r="I127" i="10" s="1"/>
  <c r="W57" i="2"/>
  <c r="D53" i="4"/>
  <c r="K53" i="4" s="1"/>
  <c r="I123" i="10" s="1"/>
  <c r="W53" i="2"/>
  <c r="G17" i="6" s="1"/>
  <c r="D49" i="4"/>
  <c r="K49" i="4" s="1"/>
  <c r="I119" i="10" s="1"/>
  <c r="W49" i="2"/>
  <c r="G5" i="6" s="1"/>
  <c r="D47" i="4"/>
  <c r="K47" i="4" s="1"/>
  <c r="I117" i="10" s="1"/>
  <c r="W47" i="2"/>
  <c r="K150" i="4"/>
  <c r="I220" i="10" s="1"/>
  <c r="N153" i="10"/>
  <c r="E136" i="7"/>
  <c r="F136" i="3"/>
  <c r="U136" i="2"/>
  <c r="K136" i="4"/>
  <c r="I206" i="10" s="1"/>
  <c r="K130" i="4"/>
  <c r="I200" i="10" s="1"/>
  <c r="L126" i="4"/>
  <c r="N141" i="10"/>
  <c r="E124" i="7"/>
  <c r="F124" i="3"/>
  <c r="U124" i="2"/>
  <c r="L118" i="4"/>
  <c r="E116" i="7"/>
  <c r="N133" i="10"/>
  <c r="F116" i="3"/>
  <c r="U116" i="2"/>
  <c r="L110" i="4"/>
  <c r="N125" i="10"/>
  <c r="E108" i="7"/>
  <c r="F108" i="3"/>
  <c r="U108" i="2"/>
  <c r="L102" i="4"/>
  <c r="E100" i="7"/>
  <c r="N117" i="10"/>
  <c r="F100" i="3"/>
  <c r="U100" i="2"/>
  <c r="N109" i="10"/>
  <c r="E92" i="7"/>
  <c r="F92" i="3"/>
  <c r="U92" i="2"/>
  <c r="L86" i="4"/>
  <c r="N101" i="10"/>
  <c r="E84" i="7"/>
  <c r="F84" i="3"/>
  <c r="U84" i="2"/>
  <c r="L78" i="4"/>
  <c r="N93" i="10"/>
  <c r="E76" i="7"/>
  <c r="F76" i="3"/>
  <c r="U76" i="2"/>
  <c r="L70" i="4"/>
  <c r="N85" i="10"/>
  <c r="E68" i="7"/>
  <c r="F68" i="3"/>
  <c r="U68" i="2"/>
  <c r="L62" i="4"/>
  <c r="N77" i="10"/>
  <c r="E60" i="7"/>
  <c r="F60" i="3"/>
  <c r="U60" i="2"/>
  <c r="L54" i="4"/>
  <c r="N69" i="10"/>
  <c r="E52" i="7"/>
  <c r="F52" i="3"/>
  <c r="U52" i="2"/>
  <c r="A114" i="10"/>
  <c r="F44" i="5"/>
  <c r="G44" i="5" s="1"/>
  <c r="H44" i="5" s="1"/>
  <c r="I44" i="5" s="1"/>
  <c r="G44" i="7"/>
  <c r="C44" i="4"/>
  <c r="E44" i="4" s="1"/>
  <c r="E44" i="3"/>
  <c r="AF44" i="2"/>
  <c r="V44" i="2"/>
  <c r="M44" i="4" s="1"/>
  <c r="B110" i="10"/>
  <c r="F40" i="7"/>
  <c r="H40" i="4"/>
  <c r="G40" i="4"/>
  <c r="J40" i="4"/>
  <c r="I40" i="4"/>
  <c r="F40" i="4"/>
  <c r="R40" i="2"/>
  <c r="S40" i="2" s="1"/>
  <c r="B106" i="10"/>
  <c r="F36" i="7"/>
  <c r="H36" i="4"/>
  <c r="G36" i="4"/>
  <c r="F36" i="4"/>
  <c r="J36" i="4"/>
  <c r="I36" i="4"/>
  <c r="R36" i="2"/>
  <c r="S36" i="2" s="1"/>
  <c r="D32" i="4"/>
  <c r="W32" i="2"/>
  <c r="B77" i="10"/>
  <c r="F7" i="7"/>
  <c r="H7" i="4"/>
  <c r="F7" i="4"/>
  <c r="L7" i="4" s="1"/>
  <c r="J7" i="4"/>
  <c r="I7" i="4"/>
  <c r="G7" i="4"/>
  <c r="R7" i="2"/>
  <c r="L154" i="4"/>
  <c r="K154" i="4"/>
  <c r="I224" i="10" s="1"/>
  <c r="N146" i="10"/>
  <c r="E129" i="7"/>
  <c r="F129" i="3"/>
  <c r="U129" i="2"/>
  <c r="N144" i="10"/>
  <c r="E127" i="7"/>
  <c r="F127" i="3"/>
  <c r="U127" i="2"/>
  <c r="N142" i="10"/>
  <c r="E125" i="7"/>
  <c r="F125" i="3"/>
  <c r="U125" i="2"/>
  <c r="N140" i="10"/>
  <c r="E123" i="7"/>
  <c r="F123" i="3"/>
  <c r="U123" i="2"/>
  <c r="N138" i="10"/>
  <c r="E121" i="7"/>
  <c r="F121" i="3"/>
  <c r="U121" i="2"/>
  <c r="N136" i="10"/>
  <c r="E119" i="7"/>
  <c r="F119" i="3"/>
  <c r="U119" i="2"/>
  <c r="E117" i="7"/>
  <c r="N134" i="10"/>
  <c r="F117" i="3"/>
  <c r="U117" i="2"/>
  <c r="N132" i="10"/>
  <c r="E115" i="7"/>
  <c r="F115" i="3"/>
  <c r="U115" i="2"/>
  <c r="F28" i="10"/>
  <c r="N130" i="10"/>
  <c r="E113" i="7"/>
  <c r="F113" i="3"/>
  <c r="U113" i="2"/>
  <c r="N128" i="10"/>
  <c r="E111" i="7"/>
  <c r="F111" i="3"/>
  <c r="U111" i="2"/>
  <c r="N126" i="10"/>
  <c r="E109" i="7"/>
  <c r="F109" i="3"/>
  <c r="U109" i="2"/>
  <c r="N124" i="10"/>
  <c r="E107" i="7"/>
  <c r="F107" i="3"/>
  <c r="U107" i="2"/>
  <c r="N122" i="10"/>
  <c r="E105" i="7"/>
  <c r="F105" i="3"/>
  <c r="U105" i="2"/>
  <c r="N120" i="10"/>
  <c r="E103" i="7"/>
  <c r="F103" i="3"/>
  <c r="U103" i="2"/>
  <c r="N118" i="10"/>
  <c r="E101" i="7"/>
  <c r="F101" i="3"/>
  <c r="U101" i="2"/>
  <c r="N116" i="10"/>
  <c r="E99" i="7"/>
  <c r="F99" i="3"/>
  <c r="U99" i="2"/>
  <c r="N114" i="10"/>
  <c r="E97" i="7"/>
  <c r="F97" i="3"/>
  <c r="U97" i="2"/>
  <c r="N112" i="10"/>
  <c r="E95" i="7"/>
  <c r="F27" i="10"/>
  <c r="F95" i="3"/>
  <c r="U95" i="2"/>
  <c r="N110" i="10"/>
  <c r="E93" i="7"/>
  <c r="F93" i="3"/>
  <c r="U93" i="2"/>
  <c r="N108" i="10"/>
  <c r="E91" i="7"/>
  <c r="F91" i="3"/>
  <c r="U91" i="2"/>
  <c r="E89" i="7"/>
  <c r="F89" i="3"/>
  <c r="U89" i="2"/>
  <c r="E87" i="7"/>
  <c r="F87" i="3"/>
  <c r="U87" i="2"/>
  <c r="N102" i="10"/>
  <c r="E85" i="7"/>
  <c r="F85" i="3"/>
  <c r="U85" i="2"/>
  <c r="N100" i="10"/>
  <c r="E83" i="7"/>
  <c r="F83" i="3"/>
  <c r="U83" i="2"/>
  <c r="N98" i="10"/>
  <c r="E81" i="7"/>
  <c r="F81" i="3"/>
  <c r="U81" i="2"/>
  <c r="N96" i="10"/>
  <c r="E79" i="7"/>
  <c r="F79" i="3"/>
  <c r="U79" i="2"/>
  <c r="N94" i="10"/>
  <c r="F26" i="10"/>
  <c r="E77" i="7"/>
  <c r="F77" i="3"/>
  <c r="U77" i="2"/>
  <c r="N92" i="10"/>
  <c r="E75" i="7"/>
  <c r="F75" i="3"/>
  <c r="U75" i="2"/>
  <c r="N90" i="10"/>
  <c r="E73" i="7"/>
  <c r="F73" i="3"/>
  <c r="U73" i="2"/>
  <c r="N88" i="10"/>
  <c r="E71" i="7"/>
  <c r="F71" i="3"/>
  <c r="U71" i="2"/>
  <c r="N86" i="10"/>
  <c r="E69" i="7"/>
  <c r="F69" i="3"/>
  <c r="U69" i="2"/>
  <c r="N84" i="10"/>
  <c r="E67" i="7"/>
  <c r="F67" i="3"/>
  <c r="U67" i="2"/>
  <c r="N82" i="10"/>
  <c r="E65" i="7"/>
  <c r="F65" i="3"/>
  <c r="U65" i="2"/>
  <c r="E63" i="7"/>
  <c r="N80" i="10"/>
  <c r="F63" i="3"/>
  <c r="U63" i="2"/>
  <c r="E61" i="7"/>
  <c r="N78" i="10"/>
  <c r="F61" i="3"/>
  <c r="U61" i="2"/>
  <c r="F25" i="10"/>
  <c r="E59" i="7"/>
  <c r="N76" i="10"/>
  <c r="F59" i="3"/>
  <c r="U59" i="2"/>
  <c r="N74" i="10"/>
  <c r="E57" i="7"/>
  <c r="F57" i="3"/>
  <c r="U57" i="2"/>
  <c r="E55" i="7"/>
  <c r="N72" i="10"/>
  <c r="F55" i="3"/>
  <c r="U55" i="2"/>
  <c r="N70" i="10"/>
  <c r="E53" i="7"/>
  <c r="F53" i="3"/>
  <c r="U53" i="2"/>
  <c r="E51" i="7"/>
  <c r="N68" i="10"/>
  <c r="F51" i="3"/>
  <c r="U51" i="2"/>
  <c r="E49" i="7"/>
  <c r="F49" i="3"/>
  <c r="U49" i="2"/>
  <c r="E47" i="7"/>
  <c r="F47" i="3"/>
  <c r="U47" i="2"/>
  <c r="F46" i="7"/>
  <c r="B116" i="10"/>
  <c r="J46" i="4"/>
  <c r="F46" i="4"/>
  <c r="I46" i="4"/>
  <c r="H46" i="4"/>
  <c r="G46" i="4"/>
  <c r="R46" i="2"/>
  <c r="S46" i="2" s="1"/>
  <c r="B111" i="10"/>
  <c r="G41" i="4"/>
  <c r="J41" i="4"/>
  <c r="F41" i="4"/>
  <c r="K41" i="4" s="1"/>
  <c r="I111" i="10" s="1"/>
  <c r="F41" i="7"/>
  <c r="I41" i="4"/>
  <c r="H41" i="4"/>
  <c r="R41" i="2"/>
  <c r="S41" i="2" s="1"/>
  <c r="B107" i="10"/>
  <c r="F37" i="7"/>
  <c r="G37" i="4"/>
  <c r="J37" i="4"/>
  <c r="F37" i="4"/>
  <c r="L37" i="4" s="1"/>
  <c r="X37" i="2" s="1"/>
  <c r="I37" i="4"/>
  <c r="H37" i="4"/>
  <c r="R37" i="2"/>
  <c r="S37" i="2" s="1"/>
  <c r="E9" i="6"/>
  <c r="F9" i="6" s="1"/>
  <c r="E10" i="6"/>
  <c r="F10" i="6" s="1"/>
  <c r="F16" i="10"/>
  <c r="F12" i="10"/>
  <c r="J89" i="10"/>
  <c r="X19" i="2"/>
  <c r="J85" i="10"/>
  <c r="X15" i="2"/>
  <c r="N165" i="10"/>
  <c r="E148" i="7"/>
  <c r="F148" i="3"/>
  <c r="U148" i="2"/>
  <c r="K148" i="4"/>
  <c r="I218" i="10" s="1"/>
  <c r="L140" i="4"/>
  <c r="L43" i="4"/>
  <c r="L39" i="4"/>
  <c r="D34" i="4"/>
  <c r="W34" i="2"/>
  <c r="F30" i="7"/>
  <c r="J30" i="4"/>
  <c r="F30" i="4"/>
  <c r="I30" i="4"/>
  <c r="H30" i="4"/>
  <c r="G30" i="4"/>
  <c r="R30" i="2"/>
  <c r="S30" i="2" s="1"/>
  <c r="D22" i="4"/>
  <c r="K22" i="4" s="1"/>
  <c r="I92" i="10" s="1"/>
  <c r="W22" i="2"/>
  <c r="B86" i="10"/>
  <c r="F16" i="7"/>
  <c r="G16" i="4"/>
  <c r="F16" i="4"/>
  <c r="L16" i="4" s="1"/>
  <c r="J16" i="4"/>
  <c r="I16" i="4"/>
  <c r="H16" i="4"/>
  <c r="R16" i="2"/>
  <c r="S16" i="2" s="1"/>
  <c r="B24" i="6"/>
  <c r="E24" i="6" s="1"/>
  <c r="F24" i="6" s="1"/>
  <c r="E19" i="6"/>
  <c r="F19" i="6" s="1"/>
  <c r="B14" i="10"/>
  <c r="E79" i="10"/>
  <c r="E80" i="10"/>
  <c r="E75" i="10"/>
  <c r="B5" i="9"/>
  <c r="A6" i="10" s="1"/>
  <c r="E5" i="8"/>
  <c r="G5" i="8" s="1"/>
  <c r="H5" i="8" s="1"/>
  <c r="N42" i="10"/>
  <c r="E25" i="7"/>
  <c r="F25" i="3"/>
  <c r="U25" i="2"/>
  <c r="N41" i="10"/>
  <c r="E24" i="7"/>
  <c r="F24" i="3"/>
  <c r="U24" i="2"/>
  <c r="V8" i="2"/>
  <c r="V7" i="2"/>
  <c r="B96" i="10" s="1"/>
  <c r="A96" i="10" s="1"/>
  <c r="J205" i="10"/>
  <c r="X135" i="2"/>
  <c r="N162" i="10"/>
  <c r="E145" i="7"/>
  <c r="U145" i="2"/>
  <c r="F145" i="3"/>
  <c r="N154" i="10"/>
  <c r="E137" i="7"/>
  <c r="U137" i="2"/>
  <c r="F137" i="3"/>
  <c r="J195" i="10"/>
  <c r="X125" i="2"/>
  <c r="J179" i="10"/>
  <c r="X109" i="2"/>
  <c r="J163" i="10"/>
  <c r="X93" i="2"/>
  <c r="J147" i="10"/>
  <c r="X77" i="2"/>
  <c r="J131" i="10"/>
  <c r="X61" i="2"/>
  <c r="J115" i="10"/>
  <c r="X45" i="2"/>
  <c r="D151" i="4"/>
  <c r="K151" i="4" s="1"/>
  <c r="I221" i="10" s="1"/>
  <c r="W151" i="2"/>
  <c r="L153" i="4"/>
  <c r="L149" i="4"/>
  <c r="L145" i="4"/>
  <c r="L133" i="4"/>
  <c r="N166" i="10"/>
  <c r="E149" i="7"/>
  <c r="U149" i="2"/>
  <c r="F149" i="3"/>
  <c r="N158" i="10"/>
  <c r="E141" i="7"/>
  <c r="U141" i="2"/>
  <c r="F141" i="3"/>
  <c r="N150" i="10"/>
  <c r="E133" i="7"/>
  <c r="U133" i="2"/>
  <c r="F133" i="3"/>
  <c r="J199" i="10"/>
  <c r="X129" i="2"/>
  <c r="J191" i="10"/>
  <c r="X121" i="2"/>
  <c r="J175" i="10"/>
  <c r="X105" i="2"/>
  <c r="J167" i="10"/>
  <c r="X97" i="2"/>
  <c r="J159" i="10"/>
  <c r="X89" i="2"/>
  <c r="J145" i="10"/>
  <c r="X75" i="2"/>
  <c r="J143" i="10"/>
  <c r="X73" i="2"/>
  <c r="J135" i="10"/>
  <c r="X65" i="2"/>
  <c r="J127" i="10"/>
  <c r="X57" i="2"/>
  <c r="D145" i="4"/>
  <c r="K145" i="4" s="1"/>
  <c r="I215" i="10" s="1"/>
  <c r="W145" i="2"/>
  <c r="N167" i="10"/>
  <c r="E150" i="7"/>
  <c r="F150" i="3"/>
  <c r="U150" i="2"/>
  <c r="L142" i="4"/>
  <c r="L152" i="4"/>
  <c r="N147" i="10"/>
  <c r="E130" i="7"/>
  <c r="F130" i="3"/>
  <c r="U130" i="2"/>
  <c r="L128" i="4"/>
  <c r="N143" i="10"/>
  <c r="E126" i="7"/>
  <c r="F126" i="3"/>
  <c r="U126" i="2"/>
  <c r="L122" i="4"/>
  <c r="L120" i="4"/>
  <c r="N135" i="10"/>
  <c r="E118" i="7"/>
  <c r="F118" i="3"/>
  <c r="U118" i="2"/>
  <c r="L114" i="4"/>
  <c r="L112" i="4"/>
  <c r="N127" i="10"/>
  <c r="E110" i="7"/>
  <c r="F110" i="3"/>
  <c r="U110" i="2"/>
  <c r="L104" i="4"/>
  <c r="N119" i="10"/>
  <c r="E102" i="7"/>
  <c r="F102" i="3"/>
  <c r="U102" i="2"/>
  <c r="L98" i="4"/>
  <c r="L96" i="4"/>
  <c r="N111" i="10"/>
  <c r="E94" i="7"/>
  <c r="F94" i="3"/>
  <c r="U94" i="2"/>
  <c r="L94" i="4"/>
  <c r="L88" i="4"/>
  <c r="N103" i="10"/>
  <c r="E86" i="7"/>
  <c r="F86" i="3"/>
  <c r="U86" i="2"/>
  <c r="L80" i="4"/>
  <c r="N95" i="10"/>
  <c r="E78" i="7"/>
  <c r="F78" i="3"/>
  <c r="U78" i="2"/>
  <c r="L72" i="4"/>
  <c r="N87" i="10"/>
  <c r="E70" i="7"/>
  <c r="F70" i="3"/>
  <c r="U70" i="2"/>
  <c r="L66" i="4"/>
  <c r="L64" i="4"/>
  <c r="N79" i="10"/>
  <c r="E62" i="7"/>
  <c r="F62" i="3"/>
  <c r="U62" i="2"/>
  <c r="L56" i="4"/>
  <c r="N71" i="10"/>
  <c r="E54" i="7"/>
  <c r="F54" i="3"/>
  <c r="U54" i="2"/>
  <c r="L50" i="4"/>
  <c r="A116" i="10"/>
  <c r="G46" i="7"/>
  <c r="F46" i="5"/>
  <c r="G46" i="5" s="1"/>
  <c r="H46" i="5" s="1"/>
  <c r="I46" i="5" s="1"/>
  <c r="C46" i="4"/>
  <c r="E46" i="4" s="1"/>
  <c r="L46" i="4" s="1"/>
  <c r="E46" i="3"/>
  <c r="AF46" i="2"/>
  <c r="V46" i="2"/>
  <c r="M46" i="4" s="1"/>
  <c r="A110" i="10"/>
  <c r="F40" i="5"/>
  <c r="G40" i="5" s="1"/>
  <c r="H40" i="5" s="1"/>
  <c r="I40" i="5" s="1"/>
  <c r="G40" i="7"/>
  <c r="C40" i="4"/>
  <c r="E40" i="4" s="1"/>
  <c r="E40" i="3"/>
  <c r="V40" i="2"/>
  <c r="M40" i="4" s="1"/>
  <c r="AF40" i="2"/>
  <c r="A106" i="10"/>
  <c r="F36" i="5"/>
  <c r="G36" i="5" s="1"/>
  <c r="H36" i="5" s="1"/>
  <c r="I36" i="5" s="1"/>
  <c r="G36" i="7"/>
  <c r="C36" i="4"/>
  <c r="E36" i="4" s="1"/>
  <c r="E36" i="3"/>
  <c r="V36" i="2"/>
  <c r="M36" i="4" s="1"/>
  <c r="AF36" i="2"/>
  <c r="B102" i="10"/>
  <c r="H32" i="4"/>
  <c r="G32" i="4"/>
  <c r="F32" i="7"/>
  <c r="J32" i="4"/>
  <c r="I32" i="4"/>
  <c r="F32" i="4"/>
  <c r="R32" i="2"/>
  <c r="S32" i="2" s="1"/>
  <c r="J97" i="10"/>
  <c r="X27" i="2"/>
  <c r="N171" i="10"/>
  <c r="E154" i="7"/>
  <c r="F154" i="3"/>
  <c r="U154" i="2"/>
  <c r="L146" i="4"/>
  <c r="L138" i="4"/>
  <c r="D43" i="4"/>
  <c r="K43" i="4" s="1"/>
  <c r="I113" i="10" s="1"/>
  <c r="W43" i="2"/>
  <c r="D39" i="4"/>
  <c r="K39" i="4" s="1"/>
  <c r="I109" i="10" s="1"/>
  <c r="W39" i="2"/>
  <c r="D35" i="4"/>
  <c r="K35" i="4" s="1"/>
  <c r="W35" i="2"/>
  <c r="F29" i="7"/>
  <c r="G29" i="4"/>
  <c r="J29" i="4"/>
  <c r="F29" i="4"/>
  <c r="I29" i="4"/>
  <c r="H29" i="4"/>
  <c r="R29" i="2"/>
  <c r="B6" i="6"/>
  <c r="E6" i="6" s="1"/>
  <c r="F6" i="6" s="1"/>
  <c r="E12" i="6"/>
  <c r="F12" i="6" s="1"/>
  <c r="E7" i="6"/>
  <c r="F7" i="6" s="1"/>
  <c r="E11" i="6"/>
  <c r="F11" i="6" s="1"/>
  <c r="B12" i="6"/>
  <c r="F26" i="7"/>
  <c r="J26" i="4"/>
  <c r="F26" i="4"/>
  <c r="K26" i="4" s="1"/>
  <c r="I96" i="10" s="1"/>
  <c r="I26" i="4"/>
  <c r="H26" i="4"/>
  <c r="L26" i="4" s="1"/>
  <c r="G26" i="4"/>
  <c r="R26" i="2"/>
  <c r="S26" i="2" s="1"/>
  <c r="J93" i="10"/>
  <c r="X23" i="2"/>
  <c r="N157" i="10"/>
  <c r="E140" i="7"/>
  <c r="F140" i="3"/>
  <c r="U140" i="2"/>
  <c r="K140" i="4"/>
  <c r="I210" i="10" s="1"/>
  <c r="L132" i="4"/>
  <c r="K45" i="4"/>
  <c r="I115" i="10" s="1"/>
  <c r="D42" i="4"/>
  <c r="W42" i="2"/>
  <c r="D38" i="4"/>
  <c r="W38" i="2"/>
  <c r="L35" i="4"/>
  <c r="X35" i="2" s="1"/>
  <c r="F34" i="7"/>
  <c r="J34" i="4"/>
  <c r="F34" i="4"/>
  <c r="L34" i="4" s="1"/>
  <c r="X34" i="2" s="1"/>
  <c r="I34" i="4"/>
  <c r="B104" i="10"/>
  <c r="H34" i="4"/>
  <c r="G34" i="4"/>
  <c r="R34" i="2"/>
  <c r="S34" i="2" s="1"/>
  <c r="D20" i="4"/>
  <c r="K20" i="4" s="1"/>
  <c r="I90" i="10" s="1"/>
  <c r="W20" i="2"/>
  <c r="B84" i="10"/>
  <c r="F14" i="7"/>
  <c r="I14" i="4"/>
  <c r="F14" i="4"/>
  <c r="J14" i="4"/>
  <c r="H14" i="4"/>
  <c r="G14" i="4"/>
  <c r="K14" i="4" s="1"/>
  <c r="I84" i="10" s="1"/>
  <c r="R14" i="2"/>
  <c r="S14" i="2" s="1"/>
  <c r="B80" i="10"/>
  <c r="F10" i="7"/>
  <c r="I10" i="4"/>
  <c r="J10" i="4"/>
  <c r="H10" i="4"/>
  <c r="G10" i="4"/>
  <c r="F10" i="4"/>
  <c r="L10" i="4" s="1"/>
  <c r="R10" i="2"/>
  <c r="B76" i="10"/>
  <c r="F6" i="7"/>
  <c r="I6" i="4"/>
  <c r="H6" i="4"/>
  <c r="G6" i="4"/>
  <c r="F6" i="4"/>
  <c r="K6" i="4" s="1"/>
  <c r="J6" i="4"/>
  <c r="R6" i="2"/>
  <c r="E18" i="6"/>
  <c r="F18" i="6" s="1"/>
  <c r="E78" i="10"/>
  <c r="E77" i="10"/>
  <c r="J91" i="10"/>
  <c r="X21" i="2"/>
  <c r="K21" i="4"/>
  <c r="I91" i="10" s="1"/>
  <c r="W6" i="2"/>
  <c r="J75" i="10"/>
  <c r="X5" i="2"/>
  <c r="J22" i="10"/>
  <c r="E7" i="8"/>
  <c r="V10" i="2"/>
  <c r="L9" i="4"/>
  <c r="K27" i="4"/>
  <c r="I97" i="10" s="1"/>
  <c r="K15" i="4"/>
  <c r="I85" i="10" s="1"/>
  <c r="W12" i="2"/>
  <c r="N44" i="10"/>
  <c r="E27" i="7"/>
  <c r="F27" i="3"/>
  <c r="U27" i="2"/>
  <c r="N39" i="10"/>
  <c r="E22" i="7"/>
  <c r="F22" i="3"/>
  <c r="U22" i="2"/>
  <c r="J217" i="10"/>
  <c r="X147" i="2"/>
  <c r="N168" i="10"/>
  <c r="E151" i="7"/>
  <c r="U151" i="2"/>
  <c r="F151" i="3"/>
  <c r="N160" i="10"/>
  <c r="E143" i="7"/>
  <c r="U143" i="2"/>
  <c r="F143" i="3"/>
  <c r="N152" i="10"/>
  <c r="E135" i="7"/>
  <c r="U135" i="2"/>
  <c r="F135" i="3"/>
  <c r="J189" i="10"/>
  <c r="X119" i="2"/>
  <c r="J183" i="10"/>
  <c r="X113" i="2"/>
  <c r="J181" i="10"/>
  <c r="X111" i="2"/>
  <c r="J173" i="10"/>
  <c r="X103" i="2"/>
  <c r="J165" i="10"/>
  <c r="X95" i="2"/>
  <c r="J157" i="10"/>
  <c r="X87" i="2"/>
  <c r="J151" i="10"/>
  <c r="X81" i="2"/>
  <c r="J149" i="10"/>
  <c r="X79" i="2"/>
  <c r="J141" i="10"/>
  <c r="X71" i="2"/>
  <c r="J125" i="10"/>
  <c r="X55" i="2"/>
  <c r="J119" i="10"/>
  <c r="X49" i="2"/>
  <c r="J117" i="10"/>
  <c r="X47" i="2"/>
  <c r="D147" i="4"/>
  <c r="K147" i="4" s="1"/>
  <c r="I217" i="10" s="1"/>
  <c r="W147" i="2"/>
  <c r="D143" i="4"/>
  <c r="K143" i="4" s="1"/>
  <c r="I213" i="10" s="1"/>
  <c r="W143" i="2"/>
  <c r="D139" i="4"/>
  <c r="K139" i="4" s="1"/>
  <c r="I209" i="10" s="1"/>
  <c r="W139" i="2"/>
  <c r="D135" i="4"/>
  <c r="K135" i="4" s="1"/>
  <c r="I205" i="10" s="1"/>
  <c r="W135" i="2"/>
  <c r="D131" i="4"/>
  <c r="K131" i="4" s="1"/>
  <c r="I201" i="10" s="1"/>
  <c r="W131" i="2"/>
  <c r="D127" i="4"/>
  <c r="K127" i="4" s="1"/>
  <c r="I197" i="10" s="1"/>
  <c r="W127" i="2"/>
  <c r="D123" i="4"/>
  <c r="K123" i="4" s="1"/>
  <c r="I193" i="10" s="1"/>
  <c r="W123" i="2"/>
  <c r="D119" i="4"/>
  <c r="K119" i="4" s="1"/>
  <c r="I189" i="10" s="1"/>
  <c r="W119" i="2"/>
  <c r="D115" i="4"/>
  <c r="K115" i="4" s="1"/>
  <c r="I185" i="10" s="1"/>
  <c r="W115" i="2"/>
  <c r="D111" i="4"/>
  <c r="K111" i="4" s="1"/>
  <c r="I181" i="10" s="1"/>
  <c r="W111" i="2"/>
  <c r="D107" i="4"/>
  <c r="K107" i="4" s="1"/>
  <c r="I177" i="10" s="1"/>
  <c r="W107" i="2"/>
  <c r="D103" i="4"/>
  <c r="K103" i="4" s="1"/>
  <c r="I173" i="10" s="1"/>
  <c r="W103" i="2"/>
  <c r="D99" i="4"/>
  <c r="K99" i="4" s="1"/>
  <c r="I169" i="10" s="1"/>
  <c r="W99" i="2"/>
  <c r="D95" i="4"/>
  <c r="K95" i="4" s="1"/>
  <c r="I165" i="10" s="1"/>
  <c r="W95" i="2"/>
  <c r="D91" i="4"/>
  <c r="K91" i="4" s="1"/>
  <c r="I161" i="10" s="1"/>
  <c r="W91" i="2"/>
  <c r="D89" i="4"/>
  <c r="K89" i="4" s="1"/>
  <c r="I159" i="10" s="1"/>
  <c r="W89" i="2"/>
  <c r="D87" i="4"/>
  <c r="K87" i="4" s="1"/>
  <c r="I157" i="10" s="1"/>
  <c r="W87" i="2"/>
  <c r="D83" i="4"/>
  <c r="K83" i="4" s="1"/>
  <c r="I153" i="10" s="1"/>
  <c r="W83" i="2"/>
  <c r="D79" i="4"/>
  <c r="K79" i="4" s="1"/>
  <c r="I149" i="10" s="1"/>
  <c r="W79" i="2"/>
  <c r="D75" i="4"/>
  <c r="K75" i="4" s="1"/>
  <c r="I145" i="10" s="1"/>
  <c r="W75" i="2"/>
  <c r="D71" i="4"/>
  <c r="K71" i="4" s="1"/>
  <c r="I141" i="10" s="1"/>
  <c r="W71" i="2"/>
  <c r="D67" i="4"/>
  <c r="K67" i="4" s="1"/>
  <c r="I137" i="10" s="1"/>
  <c r="W67" i="2"/>
  <c r="D63" i="4"/>
  <c r="K63" i="4" s="1"/>
  <c r="I133" i="10" s="1"/>
  <c r="W63" i="2"/>
  <c r="D59" i="4"/>
  <c r="K59" i="4" s="1"/>
  <c r="I129" i="10" s="1"/>
  <c r="W59" i="2"/>
  <c r="D55" i="4"/>
  <c r="K55" i="4" s="1"/>
  <c r="I125" i="10" s="1"/>
  <c r="W55" i="2"/>
  <c r="D51" i="4"/>
  <c r="K51" i="4" s="1"/>
  <c r="I121" i="10" s="1"/>
  <c r="W51" i="2"/>
  <c r="E142" i="7"/>
  <c r="N159" i="10"/>
  <c r="F142" i="3"/>
  <c r="U142" i="2"/>
  <c r="K142" i="4"/>
  <c r="I212" i="10" s="1"/>
  <c r="N169" i="10"/>
  <c r="E152" i="7"/>
  <c r="F152" i="3"/>
  <c r="U152" i="2"/>
  <c r="K152" i="4"/>
  <c r="I222" i="10" s="1"/>
  <c r="L144" i="4"/>
  <c r="N145" i="10"/>
  <c r="E128" i="7"/>
  <c r="F128" i="3"/>
  <c r="U128" i="2"/>
  <c r="N137" i="10"/>
  <c r="E120" i="7"/>
  <c r="F120" i="3"/>
  <c r="U120" i="2"/>
  <c r="N129" i="10"/>
  <c r="E112" i="7"/>
  <c r="F112" i="3"/>
  <c r="U112" i="2"/>
  <c r="L106" i="4"/>
  <c r="E104" i="7"/>
  <c r="N121" i="10"/>
  <c r="F104" i="3"/>
  <c r="U104" i="2"/>
  <c r="N113" i="10"/>
  <c r="E96" i="7"/>
  <c r="F96" i="3"/>
  <c r="U96" i="2"/>
  <c r="L90" i="4"/>
  <c r="E88" i="7"/>
  <c r="F88" i="3"/>
  <c r="U88" i="2"/>
  <c r="L82" i="4"/>
  <c r="N97" i="10"/>
  <c r="E80" i="7"/>
  <c r="F80" i="3"/>
  <c r="U80" i="2"/>
  <c r="L74" i="4"/>
  <c r="N89" i="10"/>
  <c r="E72" i="7"/>
  <c r="F72" i="3"/>
  <c r="U72" i="2"/>
  <c r="N81" i="10"/>
  <c r="E64" i="7"/>
  <c r="F64" i="3"/>
  <c r="U64" i="2"/>
  <c r="L58" i="4"/>
  <c r="N73" i="10"/>
  <c r="E56" i="7"/>
  <c r="F56" i="3"/>
  <c r="U56" i="2"/>
  <c r="E48" i="7"/>
  <c r="F48" i="3"/>
  <c r="U48" i="2"/>
  <c r="L48" i="4"/>
  <c r="A102" i="10"/>
  <c r="F32" i="5"/>
  <c r="G32" i="5" s="1"/>
  <c r="H32" i="5" s="1"/>
  <c r="I32" i="5" s="1"/>
  <c r="G32" i="7"/>
  <c r="C32" i="4"/>
  <c r="E32" i="4" s="1"/>
  <c r="E32" i="3"/>
  <c r="V32" i="2"/>
  <c r="M32" i="4" s="1"/>
  <c r="AF32" i="2"/>
  <c r="N163" i="10"/>
  <c r="E146" i="7"/>
  <c r="F146" i="3"/>
  <c r="U146" i="2"/>
  <c r="K146" i="4"/>
  <c r="I216" i="10" s="1"/>
  <c r="K138" i="4"/>
  <c r="I208" i="10" s="1"/>
  <c r="B103" i="10"/>
  <c r="F33" i="7"/>
  <c r="G33" i="4"/>
  <c r="J33" i="4"/>
  <c r="F33" i="4"/>
  <c r="I33" i="4"/>
  <c r="H33" i="4"/>
  <c r="R33" i="2"/>
  <c r="S33" i="2" s="1"/>
  <c r="H28" i="4"/>
  <c r="F28" i="7"/>
  <c r="G28" i="4"/>
  <c r="K28" i="4" s="1"/>
  <c r="I98" i="10" s="1"/>
  <c r="F28" i="4"/>
  <c r="J28" i="4"/>
  <c r="I28" i="4"/>
  <c r="R28" i="2"/>
  <c r="S28" i="2" s="1"/>
  <c r="N149" i="10"/>
  <c r="E132" i="7"/>
  <c r="F132" i="3"/>
  <c r="U132" i="2"/>
  <c r="K132" i="4"/>
  <c r="I202" i="10" s="1"/>
  <c r="B112" i="10"/>
  <c r="F42" i="7"/>
  <c r="J42" i="4"/>
  <c r="F42" i="4"/>
  <c r="I42" i="4"/>
  <c r="H42" i="4"/>
  <c r="G42" i="4"/>
  <c r="R42" i="2"/>
  <c r="S42" i="2" s="1"/>
  <c r="L42" i="4"/>
  <c r="B108" i="10"/>
  <c r="F38" i="7"/>
  <c r="J38" i="4"/>
  <c r="F38" i="4"/>
  <c r="L38" i="4" s="1"/>
  <c r="I38" i="4"/>
  <c r="H38" i="4"/>
  <c r="G38" i="4"/>
  <c r="R38" i="2"/>
  <c r="S38" i="2" s="1"/>
  <c r="G30" i="7"/>
  <c r="F30" i="5"/>
  <c r="G30" i="5" s="1"/>
  <c r="H30" i="5" s="1"/>
  <c r="I30" i="5" s="1"/>
  <c r="C30" i="4"/>
  <c r="E30" i="4" s="1"/>
  <c r="L30" i="4" s="1"/>
  <c r="E30" i="3"/>
  <c r="V30" i="2"/>
  <c r="M30" i="4" s="1"/>
  <c r="AF30" i="2"/>
  <c r="B88" i="10"/>
  <c r="F18" i="7"/>
  <c r="J18" i="4"/>
  <c r="F18" i="4"/>
  <c r="K18" i="4" s="1"/>
  <c r="I88" i="10" s="1"/>
  <c r="I18" i="4"/>
  <c r="H18" i="4"/>
  <c r="G18" i="4"/>
  <c r="R18" i="2"/>
  <c r="S18" i="2" s="1"/>
  <c r="W7" i="2"/>
  <c r="E21" i="6"/>
  <c r="F21" i="6" s="1"/>
  <c r="J87" i="10"/>
  <c r="X17" i="2"/>
  <c r="B81" i="10"/>
  <c r="F11" i="7"/>
  <c r="H11" i="4"/>
  <c r="G11" i="4"/>
  <c r="F11" i="4"/>
  <c r="K11" i="4" s="1"/>
  <c r="I81" i="10" s="1"/>
  <c r="J11" i="4"/>
  <c r="I11" i="4"/>
  <c r="R11" i="2"/>
  <c r="I75" i="10"/>
  <c r="N36" i="10"/>
  <c r="E19" i="7"/>
  <c r="F19" i="3"/>
  <c r="U19" i="2"/>
  <c r="N30" i="10"/>
  <c r="E13" i="7"/>
  <c r="F13" i="3"/>
  <c r="U13" i="2"/>
  <c r="B6" i="9"/>
  <c r="D6" i="10" s="1"/>
  <c r="W44" i="2"/>
  <c r="W26" i="2"/>
  <c r="N38" i="10"/>
  <c r="E21" i="7"/>
  <c r="F21" i="3"/>
  <c r="U21" i="2"/>
  <c r="V16" i="2"/>
  <c r="M16" i="4" s="1"/>
  <c r="U43" i="2"/>
  <c r="U35" i="2"/>
  <c r="K17" i="4"/>
  <c r="I87" i="10" s="1"/>
  <c r="L24" i="4"/>
  <c r="N37" i="10"/>
  <c r="E20" i="7"/>
  <c r="F20" i="3"/>
  <c r="U20" i="2"/>
  <c r="L20" i="4"/>
  <c r="K19" i="4"/>
  <c r="I89" i="10" s="1"/>
  <c r="L14" i="4"/>
  <c r="W14" i="2"/>
  <c r="L8" i="4"/>
  <c r="W8" i="2"/>
  <c r="J82" i="10" l="1"/>
  <c r="X12" i="2"/>
  <c r="I76" i="10"/>
  <c r="J86" i="10"/>
  <c r="X16" i="2"/>
  <c r="J108" i="10"/>
  <c r="X38" i="2"/>
  <c r="J80" i="10"/>
  <c r="X10" i="2"/>
  <c r="J96" i="10"/>
  <c r="X26" i="2"/>
  <c r="J77" i="10"/>
  <c r="X7" i="2"/>
  <c r="J94" i="10"/>
  <c r="X24" i="2"/>
  <c r="H21" i="3"/>
  <c r="AH21" i="2"/>
  <c r="I21" i="3" s="1"/>
  <c r="AG21" i="2"/>
  <c r="H13" i="3"/>
  <c r="AH13" i="2"/>
  <c r="I13" i="3" s="1"/>
  <c r="J100" i="10"/>
  <c r="X30" i="2"/>
  <c r="N55" i="10"/>
  <c r="E38" i="7"/>
  <c r="F38" i="3"/>
  <c r="U38" i="2"/>
  <c r="H146" i="3"/>
  <c r="AH146" i="2"/>
  <c r="I146" i="3" s="1"/>
  <c r="J128" i="10"/>
  <c r="X58" i="2"/>
  <c r="AG58" i="2" s="1"/>
  <c r="H112" i="3"/>
  <c r="AH112" i="2"/>
  <c r="I112" i="3" s="1"/>
  <c r="H120" i="3"/>
  <c r="AH120" i="2"/>
  <c r="I120" i="3" s="1"/>
  <c r="H128" i="3"/>
  <c r="AH128" i="2"/>
  <c r="I128" i="3" s="1"/>
  <c r="AG135" i="2"/>
  <c r="H135" i="3"/>
  <c r="AH135" i="2"/>
  <c r="I135" i="3" s="1"/>
  <c r="AG143" i="2"/>
  <c r="H143" i="3"/>
  <c r="AH143" i="2"/>
  <c r="I143" i="3" s="1"/>
  <c r="AG151" i="2"/>
  <c r="H151" i="3"/>
  <c r="AH151" i="2"/>
  <c r="I151" i="3" s="1"/>
  <c r="G12" i="6"/>
  <c r="G18" i="6"/>
  <c r="J84" i="10"/>
  <c r="X14" i="2"/>
  <c r="S11" i="2"/>
  <c r="C17" i="10"/>
  <c r="F81" i="10"/>
  <c r="N35" i="10"/>
  <c r="E18" i="7"/>
  <c r="F18" i="3"/>
  <c r="U18" i="2"/>
  <c r="K33" i="4"/>
  <c r="I103" i="10" s="1"/>
  <c r="J144" i="10"/>
  <c r="X74" i="2"/>
  <c r="H22" i="3"/>
  <c r="AH22" i="2"/>
  <c r="I22" i="3" s="1"/>
  <c r="AG22" i="2"/>
  <c r="H27" i="3"/>
  <c r="AH27" i="2"/>
  <c r="I27" i="3" s="1"/>
  <c r="AG27" i="2"/>
  <c r="G24" i="6"/>
  <c r="G6" i="6"/>
  <c r="G11" i="6"/>
  <c r="H154" i="3"/>
  <c r="AH154" i="2"/>
  <c r="I154" i="3" s="1"/>
  <c r="J120" i="10"/>
  <c r="X50" i="2"/>
  <c r="H70" i="3"/>
  <c r="AG70" i="2"/>
  <c r="AH70" i="2"/>
  <c r="I70" i="3" s="1"/>
  <c r="J166" i="10"/>
  <c r="X96" i="2"/>
  <c r="J222" i="10"/>
  <c r="X152" i="2"/>
  <c r="AG152" i="2" s="1"/>
  <c r="H133" i="3"/>
  <c r="AH133" i="2"/>
  <c r="I133" i="3" s="1"/>
  <c r="H141" i="3"/>
  <c r="AH141" i="2"/>
  <c r="I141" i="3" s="1"/>
  <c r="H149" i="3"/>
  <c r="AH149" i="2"/>
  <c r="I149" i="3" s="1"/>
  <c r="J215" i="10"/>
  <c r="X145" i="2"/>
  <c r="M8" i="4"/>
  <c r="H20" i="6"/>
  <c r="H10" i="6"/>
  <c r="K46" i="4"/>
  <c r="I116" i="10" s="1"/>
  <c r="N54" i="10"/>
  <c r="E37" i="7"/>
  <c r="F37" i="3"/>
  <c r="U37" i="2"/>
  <c r="F24" i="10"/>
  <c r="N58" i="10"/>
  <c r="E41" i="7"/>
  <c r="F41" i="3"/>
  <c r="U41" i="2"/>
  <c r="E46" i="7"/>
  <c r="F46" i="3"/>
  <c r="U46" i="2"/>
  <c r="H47" i="3"/>
  <c r="AH47" i="2"/>
  <c r="I47" i="3" s="1"/>
  <c r="AG47" i="2"/>
  <c r="H79" i="3"/>
  <c r="AH79" i="2"/>
  <c r="I79" i="3" s="1"/>
  <c r="AG79" i="2"/>
  <c r="H81" i="3"/>
  <c r="AH81" i="2"/>
  <c r="I81" i="3" s="1"/>
  <c r="AG81" i="2"/>
  <c r="H83" i="3"/>
  <c r="AH83" i="2"/>
  <c r="I83" i="3" s="1"/>
  <c r="AG83" i="2"/>
  <c r="H85" i="3"/>
  <c r="AH85" i="2"/>
  <c r="I85" i="3" s="1"/>
  <c r="AG85" i="2"/>
  <c r="H87" i="3"/>
  <c r="AH87" i="2"/>
  <c r="I87" i="3" s="1"/>
  <c r="AG87" i="2"/>
  <c r="H115" i="3"/>
  <c r="AH115" i="2"/>
  <c r="I115" i="3" s="1"/>
  <c r="AG115" i="2"/>
  <c r="H117" i="3"/>
  <c r="AH117" i="2"/>
  <c r="I117" i="3" s="1"/>
  <c r="AG117" i="2"/>
  <c r="H119" i="3"/>
  <c r="AH119" i="2"/>
  <c r="I119" i="3" s="1"/>
  <c r="AG119" i="2"/>
  <c r="H121" i="3"/>
  <c r="AH121" i="2"/>
  <c r="I121" i="3" s="1"/>
  <c r="AG121" i="2"/>
  <c r="H123" i="3"/>
  <c r="AH123" i="2"/>
  <c r="I123" i="3" s="1"/>
  <c r="AG123" i="2"/>
  <c r="H125" i="3"/>
  <c r="AH125" i="2"/>
  <c r="I125" i="3" s="1"/>
  <c r="AG125" i="2"/>
  <c r="H127" i="3"/>
  <c r="AH127" i="2"/>
  <c r="I127" i="3" s="1"/>
  <c r="AG127" i="2"/>
  <c r="H129" i="3"/>
  <c r="AH129" i="2"/>
  <c r="I129" i="3" s="1"/>
  <c r="AG129" i="2"/>
  <c r="K32" i="4"/>
  <c r="I102" i="10" s="1"/>
  <c r="H68" i="3"/>
  <c r="AH68" i="2"/>
  <c r="I68" i="3" s="1"/>
  <c r="J140" i="10"/>
  <c r="X70" i="2"/>
  <c r="H108" i="3"/>
  <c r="AG108" i="2"/>
  <c r="AH108" i="2"/>
  <c r="I108" i="3" s="1"/>
  <c r="J180" i="10"/>
  <c r="X110" i="2"/>
  <c r="M12" i="4"/>
  <c r="H24" i="6"/>
  <c r="H6" i="6"/>
  <c r="M9" i="4"/>
  <c r="H5" i="6"/>
  <c r="H21" i="6"/>
  <c r="B101" i="10"/>
  <c r="A101" i="10" s="1"/>
  <c r="B98" i="10"/>
  <c r="A98" i="10" s="1"/>
  <c r="B99" i="10"/>
  <c r="A99" i="10" s="1"/>
  <c r="J101" i="10"/>
  <c r="X31" i="2"/>
  <c r="H138" i="3"/>
  <c r="AH138" i="2"/>
  <c r="I138" i="3" s="1"/>
  <c r="E44" i="7"/>
  <c r="F44" i="3"/>
  <c r="U44" i="2"/>
  <c r="H45" i="3"/>
  <c r="AH45" i="2"/>
  <c r="I45" i="3" s="1"/>
  <c r="AG45" i="2"/>
  <c r="H58" i="3"/>
  <c r="AH58" i="2"/>
  <c r="I58" i="3" s="1"/>
  <c r="J130" i="10"/>
  <c r="X60" i="2"/>
  <c r="AG60" i="2" s="1"/>
  <c r="H90" i="3"/>
  <c r="AG90" i="2"/>
  <c r="AH90" i="2"/>
  <c r="I90" i="3" s="1"/>
  <c r="H98" i="3"/>
  <c r="AH98" i="2"/>
  <c r="I98" i="3" s="1"/>
  <c r="J170" i="10"/>
  <c r="X100" i="2"/>
  <c r="J200" i="10"/>
  <c r="X130" i="2"/>
  <c r="AG130" i="2" s="1"/>
  <c r="G9" i="6"/>
  <c r="G23" i="6"/>
  <c r="G20" i="6"/>
  <c r="G10" i="6"/>
  <c r="L18" i="4"/>
  <c r="K12" i="4"/>
  <c r="I82" i="10" s="1"/>
  <c r="H132" i="3"/>
  <c r="AH132" i="2"/>
  <c r="I132" i="3" s="1"/>
  <c r="E33" i="7"/>
  <c r="F33" i="3"/>
  <c r="U33" i="2"/>
  <c r="H80" i="3"/>
  <c r="AH80" i="2"/>
  <c r="I80" i="3" s="1"/>
  <c r="J152" i="10"/>
  <c r="X82" i="2"/>
  <c r="AG82" i="2" s="1"/>
  <c r="J160" i="10"/>
  <c r="X90" i="2"/>
  <c r="H152" i="3"/>
  <c r="AH152" i="2"/>
  <c r="I152" i="3" s="1"/>
  <c r="M10" i="4"/>
  <c r="H22" i="6"/>
  <c r="H8" i="6"/>
  <c r="S6" i="2"/>
  <c r="C12" i="10"/>
  <c r="F76" i="10"/>
  <c r="S10" i="2"/>
  <c r="F80" i="10"/>
  <c r="C16" i="10"/>
  <c r="N31" i="10"/>
  <c r="E14" i="7"/>
  <c r="F14" i="3"/>
  <c r="U14" i="2"/>
  <c r="K38" i="4"/>
  <c r="I108" i="10" s="1"/>
  <c r="J202" i="10"/>
  <c r="X132" i="2"/>
  <c r="AG132" i="2" s="1"/>
  <c r="N43" i="10"/>
  <c r="E26" i="7"/>
  <c r="F26" i="3"/>
  <c r="U26" i="2"/>
  <c r="S29" i="2"/>
  <c r="C11" i="10"/>
  <c r="F75" i="10"/>
  <c r="L40" i="4"/>
  <c r="H54" i="3"/>
  <c r="AH54" i="2"/>
  <c r="I54" i="3" s="1"/>
  <c r="J126" i="10"/>
  <c r="X56" i="2"/>
  <c r="AG56" i="2" s="1"/>
  <c r="H78" i="3"/>
  <c r="AH78" i="2"/>
  <c r="I78" i="3" s="1"/>
  <c r="J150" i="10"/>
  <c r="X80" i="2"/>
  <c r="AG80" i="2" s="1"/>
  <c r="J168" i="10"/>
  <c r="X98" i="2"/>
  <c r="AG98" i="2" s="1"/>
  <c r="H118" i="3"/>
  <c r="AH118" i="2"/>
  <c r="I118" i="3" s="1"/>
  <c r="J190" i="10"/>
  <c r="X120" i="2"/>
  <c r="AG120" i="2" s="1"/>
  <c r="G6" i="8"/>
  <c r="H6" i="8" s="1"/>
  <c r="J219" i="10"/>
  <c r="X149" i="2"/>
  <c r="AG149" i="2" s="1"/>
  <c r="H24" i="3"/>
  <c r="AH24" i="2"/>
  <c r="I24" i="3" s="1"/>
  <c r="AG24" i="2"/>
  <c r="K10" i="4"/>
  <c r="I80" i="10" s="1"/>
  <c r="K34" i="4"/>
  <c r="J210" i="10"/>
  <c r="X140" i="2"/>
  <c r="AG140" i="2" s="1"/>
  <c r="J224" i="10"/>
  <c r="X154" i="2"/>
  <c r="AG154" i="2" s="1"/>
  <c r="L33" i="4"/>
  <c r="H76" i="3"/>
  <c r="AH76" i="2"/>
  <c r="I76" i="3" s="1"/>
  <c r="J148" i="10"/>
  <c r="X78" i="2"/>
  <c r="AG78" i="2" s="1"/>
  <c r="H116" i="3"/>
  <c r="AH116" i="2"/>
  <c r="I116" i="3" s="1"/>
  <c r="J188" i="10"/>
  <c r="X118" i="2"/>
  <c r="AG118" i="2" s="1"/>
  <c r="H136" i="3"/>
  <c r="AH136" i="2"/>
  <c r="I136" i="3" s="1"/>
  <c r="H17" i="3"/>
  <c r="AH17" i="2"/>
  <c r="I17" i="3" s="1"/>
  <c r="AG17" i="2"/>
  <c r="J92" i="10"/>
  <c r="X22" i="2"/>
  <c r="H23" i="3"/>
  <c r="AH23" i="2"/>
  <c r="I23" i="3" s="1"/>
  <c r="AG23" i="2"/>
  <c r="B16" i="9"/>
  <c r="B17" i="9"/>
  <c r="B92" i="10"/>
  <c r="A92" i="10" s="1"/>
  <c r="B93" i="10"/>
  <c r="A93" i="10" s="1"/>
  <c r="J218" i="10"/>
  <c r="X148" i="2"/>
  <c r="AG148" i="2" s="1"/>
  <c r="K36" i="4"/>
  <c r="H66" i="3"/>
  <c r="AG66" i="2"/>
  <c r="AH66" i="2"/>
  <c r="I66" i="3" s="1"/>
  <c r="J138" i="10"/>
  <c r="X68" i="2"/>
  <c r="AG68" i="2" s="1"/>
  <c r="H106" i="3"/>
  <c r="AG106" i="2"/>
  <c r="AH106" i="2"/>
  <c r="I106" i="3" s="1"/>
  <c r="J178" i="10"/>
  <c r="X108" i="2"/>
  <c r="J206" i="10"/>
  <c r="X136" i="2"/>
  <c r="AG136" i="2" s="1"/>
  <c r="J204" i="10"/>
  <c r="X134" i="2"/>
  <c r="G8" i="6"/>
  <c r="H20" i="3"/>
  <c r="AH20" i="2"/>
  <c r="I20" i="3" s="1"/>
  <c r="AG20" i="2"/>
  <c r="H19" i="3"/>
  <c r="AH19" i="2"/>
  <c r="I19" i="3" s="1"/>
  <c r="AG19" i="2"/>
  <c r="G7" i="6"/>
  <c r="G19" i="6"/>
  <c r="J112" i="10"/>
  <c r="X42" i="2"/>
  <c r="J118" i="10"/>
  <c r="X48" i="2"/>
  <c r="H56" i="3"/>
  <c r="AH56" i="2"/>
  <c r="I56" i="3" s="1"/>
  <c r="J214" i="10"/>
  <c r="X144" i="2"/>
  <c r="L11" i="4"/>
  <c r="N59" i="10"/>
  <c r="E42" i="7"/>
  <c r="F42" i="3"/>
  <c r="U42" i="2"/>
  <c r="H48" i="3"/>
  <c r="AG48" i="2"/>
  <c r="AH48" i="2"/>
  <c r="I48" i="3" s="1"/>
  <c r="H64" i="3"/>
  <c r="AH64" i="2"/>
  <c r="I64" i="3" s="1"/>
  <c r="H72" i="3"/>
  <c r="AG72" i="2"/>
  <c r="AH72" i="2"/>
  <c r="I72" i="3" s="1"/>
  <c r="J79" i="10"/>
  <c r="X9" i="2"/>
  <c r="L6" i="4"/>
  <c r="K29" i="4"/>
  <c r="I99" i="10" s="1"/>
  <c r="J116" i="10"/>
  <c r="X46" i="2"/>
  <c r="J142" i="10"/>
  <c r="X72" i="2"/>
  <c r="H94" i="3"/>
  <c r="AH94" i="2"/>
  <c r="I94" i="3" s="1"/>
  <c r="J184" i="10"/>
  <c r="X114" i="2"/>
  <c r="AG114" i="2" s="1"/>
  <c r="H130" i="3"/>
  <c r="AH130" i="2"/>
  <c r="I130" i="3" s="1"/>
  <c r="E30" i="7"/>
  <c r="F30" i="3"/>
  <c r="U30" i="2"/>
  <c r="J78" i="10"/>
  <c r="X8" i="2"/>
  <c r="J90" i="10"/>
  <c r="X20" i="2"/>
  <c r="H35" i="3"/>
  <c r="AG35" i="2"/>
  <c r="AH35" i="2"/>
  <c r="I35" i="3" s="1"/>
  <c r="N45" i="10"/>
  <c r="E28" i="7"/>
  <c r="F28" i="3"/>
  <c r="U28" i="2"/>
  <c r="L32" i="4"/>
  <c r="L41" i="4"/>
  <c r="H88" i="3"/>
  <c r="AG88" i="2"/>
  <c r="AH88" i="2"/>
  <c r="I88" i="3" s="1"/>
  <c r="H96" i="3"/>
  <c r="AG96" i="2"/>
  <c r="AH96" i="2"/>
  <c r="I96" i="3" s="1"/>
  <c r="H104" i="3"/>
  <c r="AH104" i="2"/>
  <c r="I104" i="3" s="1"/>
  <c r="J176" i="10"/>
  <c r="X106" i="2"/>
  <c r="H142" i="3"/>
  <c r="AH142" i="2"/>
  <c r="I142" i="3" s="1"/>
  <c r="AG142" i="2"/>
  <c r="J208" i="10"/>
  <c r="X138" i="2"/>
  <c r="AG138" i="2" s="1"/>
  <c r="L36" i="4"/>
  <c r="X36" i="2" s="1"/>
  <c r="H62" i="3"/>
  <c r="AH62" i="2"/>
  <c r="I62" i="3" s="1"/>
  <c r="J134" i="10"/>
  <c r="X64" i="2"/>
  <c r="AG64" i="2" s="1"/>
  <c r="H86" i="3"/>
  <c r="AH86" i="2"/>
  <c r="I86" i="3" s="1"/>
  <c r="J158" i="10"/>
  <c r="X88" i="2"/>
  <c r="H102" i="3"/>
  <c r="AH102" i="2"/>
  <c r="I102" i="3" s="1"/>
  <c r="J174" i="10"/>
  <c r="X104" i="2"/>
  <c r="AG104" i="2" s="1"/>
  <c r="J192" i="10"/>
  <c r="X122" i="2"/>
  <c r="J212" i="10"/>
  <c r="X142" i="2"/>
  <c r="J223" i="10"/>
  <c r="X153" i="2"/>
  <c r="AG153" i="2" s="1"/>
  <c r="AG137" i="2"/>
  <c r="H137" i="3"/>
  <c r="AH137" i="2"/>
  <c r="I137" i="3" s="1"/>
  <c r="AG145" i="2"/>
  <c r="H145" i="3"/>
  <c r="AH145" i="2"/>
  <c r="I145" i="3" s="1"/>
  <c r="H25" i="3"/>
  <c r="AG25" i="2"/>
  <c r="AH25" i="2"/>
  <c r="I25" i="3" s="1"/>
  <c r="J5" i="8"/>
  <c r="E16" i="7"/>
  <c r="N33" i="10"/>
  <c r="F16" i="3"/>
  <c r="U16" i="2"/>
  <c r="J109" i="10"/>
  <c r="X39" i="2"/>
  <c r="H51" i="3"/>
  <c r="AH51" i="2"/>
  <c r="I51" i="3" s="1"/>
  <c r="AG51" i="2"/>
  <c r="H53" i="3"/>
  <c r="AH53" i="2"/>
  <c r="I53" i="3" s="1"/>
  <c r="AG53" i="2"/>
  <c r="H55" i="3"/>
  <c r="AH55" i="2"/>
  <c r="I55" i="3" s="1"/>
  <c r="AG55" i="2"/>
  <c r="H57" i="3"/>
  <c r="AH57" i="2"/>
  <c r="I57" i="3" s="1"/>
  <c r="AG57" i="2"/>
  <c r="H59" i="3"/>
  <c r="AH59" i="2"/>
  <c r="I59" i="3" s="1"/>
  <c r="AG59" i="2"/>
  <c r="H91" i="3"/>
  <c r="AH91" i="2"/>
  <c r="I91" i="3" s="1"/>
  <c r="AG91" i="2"/>
  <c r="H93" i="3"/>
  <c r="AH93" i="2"/>
  <c r="I93" i="3" s="1"/>
  <c r="AG93" i="2"/>
  <c r="H95" i="3"/>
  <c r="AH95" i="2"/>
  <c r="I95" i="3" s="1"/>
  <c r="AG95" i="2"/>
  <c r="S7" i="2"/>
  <c r="F77" i="10"/>
  <c r="C13" i="10"/>
  <c r="K7" i="4"/>
  <c r="I77" i="10" s="1"/>
  <c r="L29" i="4"/>
  <c r="N53" i="10"/>
  <c r="E36" i="7"/>
  <c r="F36" i="3"/>
  <c r="U36" i="2"/>
  <c r="L44" i="4"/>
  <c r="H52" i="3"/>
  <c r="AH52" i="2"/>
  <c r="I52" i="3" s="1"/>
  <c r="J124" i="10"/>
  <c r="X54" i="2"/>
  <c r="AG54" i="2" s="1"/>
  <c r="H84" i="3"/>
  <c r="AG84" i="2"/>
  <c r="AH84" i="2"/>
  <c r="I84" i="3" s="1"/>
  <c r="J156" i="10"/>
  <c r="X86" i="2"/>
  <c r="AG86" i="2" s="1"/>
  <c r="H124" i="3"/>
  <c r="AH124" i="2"/>
  <c r="I124" i="3" s="1"/>
  <c r="J196" i="10"/>
  <c r="X126" i="2"/>
  <c r="AG131" i="2"/>
  <c r="H131" i="3"/>
  <c r="AH131" i="2"/>
  <c r="I131" i="3" s="1"/>
  <c r="J207" i="10"/>
  <c r="X137" i="2"/>
  <c r="H153" i="3"/>
  <c r="AH153" i="2"/>
  <c r="I153" i="3" s="1"/>
  <c r="J209" i="10"/>
  <c r="X139" i="2"/>
  <c r="AG139" i="2" s="1"/>
  <c r="H15" i="3"/>
  <c r="AG15" i="2"/>
  <c r="AH15" i="2"/>
  <c r="I15" i="3" s="1"/>
  <c r="N22" i="10"/>
  <c r="E5" i="7"/>
  <c r="F5" i="3"/>
  <c r="U5" i="2"/>
  <c r="B13" i="9"/>
  <c r="B100" i="10"/>
  <c r="A100" i="10" s="1"/>
  <c r="H31" i="3"/>
  <c r="AG31" i="2"/>
  <c r="AH31" i="2"/>
  <c r="I31" i="3" s="1"/>
  <c r="S8" i="2"/>
  <c r="C14" i="10"/>
  <c r="F78" i="10"/>
  <c r="S12" i="2"/>
  <c r="C18" i="10"/>
  <c r="F82" i="10"/>
  <c r="S9" i="2"/>
  <c r="I14" i="10" s="1"/>
  <c r="F79" i="10"/>
  <c r="C15" i="10"/>
  <c r="K9" i="4"/>
  <c r="I79" i="10" s="1"/>
  <c r="H74" i="3"/>
  <c r="AG74" i="2"/>
  <c r="AH74" i="2"/>
  <c r="I74" i="3" s="1"/>
  <c r="J146" i="10"/>
  <c r="X76" i="2"/>
  <c r="AG76" i="2" s="1"/>
  <c r="H114" i="3"/>
  <c r="AH114" i="2"/>
  <c r="I114" i="3" s="1"/>
  <c r="J186" i="10"/>
  <c r="X116" i="2"/>
  <c r="AG116" i="2" s="1"/>
  <c r="H134" i="3"/>
  <c r="AH134" i="2"/>
  <c r="I134" i="3" s="1"/>
  <c r="AG134" i="2"/>
  <c r="J220" i="10"/>
  <c r="X150" i="2"/>
  <c r="G21" i="6"/>
  <c r="H43" i="3"/>
  <c r="AH43" i="2"/>
  <c r="I43" i="3" s="1"/>
  <c r="F34" i="3"/>
  <c r="E34" i="7"/>
  <c r="U34" i="2"/>
  <c r="K42" i="4"/>
  <c r="I112" i="10" s="1"/>
  <c r="H140" i="3"/>
  <c r="AH140" i="2"/>
  <c r="I140" i="3" s="1"/>
  <c r="J216" i="10"/>
  <c r="X146" i="2"/>
  <c r="AG146" i="2" s="1"/>
  <c r="E32" i="7"/>
  <c r="F32" i="3"/>
  <c r="U32" i="2"/>
  <c r="J136" i="10"/>
  <c r="X66" i="2"/>
  <c r="J164" i="10"/>
  <c r="X94" i="2"/>
  <c r="AG94" i="2" s="1"/>
  <c r="H110" i="3"/>
  <c r="AG110" i="2"/>
  <c r="AH110" i="2"/>
  <c r="I110" i="3" s="1"/>
  <c r="J182" i="10"/>
  <c r="X112" i="2"/>
  <c r="AG112" i="2" s="1"/>
  <c r="H126" i="3"/>
  <c r="AG126" i="2"/>
  <c r="AH126" i="2"/>
  <c r="I126" i="3" s="1"/>
  <c r="J198" i="10"/>
  <c r="X128" i="2"/>
  <c r="AG128" i="2" s="1"/>
  <c r="H150" i="3"/>
  <c r="AH150" i="2"/>
  <c r="I150" i="3" s="1"/>
  <c r="AG150" i="2"/>
  <c r="J203" i="10"/>
  <c r="X133" i="2"/>
  <c r="AG133" i="2" s="1"/>
  <c r="M7" i="4"/>
  <c r="H7" i="6"/>
  <c r="H19" i="6"/>
  <c r="J113" i="10"/>
  <c r="X43" i="2"/>
  <c r="AG43" i="2" s="1"/>
  <c r="H148" i="3"/>
  <c r="AH148" i="2"/>
  <c r="I148" i="3" s="1"/>
  <c r="K37" i="4"/>
  <c r="H49" i="3"/>
  <c r="AH49" i="2"/>
  <c r="I49" i="3" s="1"/>
  <c r="AG49" i="2"/>
  <c r="H61" i="3"/>
  <c r="AH61" i="2"/>
  <c r="I61" i="3" s="1"/>
  <c r="AG61" i="2"/>
  <c r="H63" i="3"/>
  <c r="AH63" i="2"/>
  <c r="I63" i="3" s="1"/>
  <c r="AG63" i="2"/>
  <c r="H65" i="3"/>
  <c r="AH65" i="2"/>
  <c r="I65" i="3" s="1"/>
  <c r="AG65" i="2"/>
  <c r="H67" i="3"/>
  <c r="AH67" i="2"/>
  <c r="I67" i="3" s="1"/>
  <c r="AG67" i="2"/>
  <c r="H69" i="3"/>
  <c r="AH69" i="2"/>
  <c r="I69" i="3" s="1"/>
  <c r="AG69" i="2"/>
  <c r="H71" i="3"/>
  <c r="AH71" i="2"/>
  <c r="I71" i="3" s="1"/>
  <c r="AG71" i="2"/>
  <c r="H73" i="3"/>
  <c r="AH73" i="2"/>
  <c r="I73" i="3" s="1"/>
  <c r="AG73" i="2"/>
  <c r="H75" i="3"/>
  <c r="AH75" i="2"/>
  <c r="I75" i="3" s="1"/>
  <c r="AG75" i="2"/>
  <c r="H77" i="3"/>
  <c r="AH77" i="2"/>
  <c r="I77" i="3" s="1"/>
  <c r="AG77" i="2"/>
  <c r="H89" i="3"/>
  <c r="AH89" i="2"/>
  <c r="I89" i="3" s="1"/>
  <c r="AG89" i="2"/>
  <c r="H97" i="3"/>
  <c r="AH97" i="2"/>
  <c r="I97" i="3" s="1"/>
  <c r="AG97" i="2"/>
  <c r="H99" i="3"/>
  <c r="AH99" i="2"/>
  <c r="I99" i="3" s="1"/>
  <c r="AG99" i="2"/>
  <c r="H101" i="3"/>
  <c r="AH101" i="2"/>
  <c r="I101" i="3" s="1"/>
  <c r="AG101" i="2"/>
  <c r="H103" i="3"/>
  <c r="AH103" i="2"/>
  <c r="I103" i="3" s="1"/>
  <c r="AG103" i="2"/>
  <c r="H105" i="3"/>
  <c r="AH105" i="2"/>
  <c r="I105" i="3" s="1"/>
  <c r="AG105" i="2"/>
  <c r="H107" i="3"/>
  <c r="AH107" i="2"/>
  <c r="I107" i="3" s="1"/>
  <c r="AG107" i="2"/>
  <c r="H109" i="3"/>
  <c r="AH109" i="2"/>
  <c r="I109" i="3" s="1"/>
  <c r="AG109" i="2"/>
  <c r="H111" i="3"/>
  <c r="AH111" i="2"/>
  <c r="I111" i="3" s="1"/>
  <c r="AG111" i="2"/>
  <c r="H113" i="3"/>
  <c r="AH113" i="2"/>
  <c r="I113" i="3" s="1"/>
  <c r="AG113" i="2"/>
  <c r="N57" i="10"/>
  <c r="E40" i="7"/>
  <c r="F40" i="3"/>
  <c r="U40" i="2"/>
  <c r="H60" i="3"/>
  <c r="AH60" i="2"/>
  <c r="I60" i="3" s="1"/>
  <c r="J132" i="10"/>
  <c r="X62" i="2"/>
  <c r="AG62" i="2" s="1"/>
  <c r="H92" i="3"/>
  <c r="AH92" i="2"/>
  <c r="I92" i="3" s="1"/>
  <c r="H100" i="3"/>
  <c r="AG100" i="2"/>
  <c r="AH100" i="2"/>
  <c r="I100" i="3" s="1"/>
  <c r="J172" i="10"/>
  <c r="X102" i="2"/>
  <c r="AG102" i="2" s="1"/>
  <c r="H139" i="3"/>
  <c r="AH139" i="2"/>
  <c r="I139" i="3" s="1"/>
  <c r="AG147" i="2"/>
  <c r="H147" i="3"/>
  <c r="AH147" i="2"/>
  <c r="I147" i="3" s="1"/>
  <c r="J211" i="10"/>
  <c r="X141" i="2"/>
  <c r="AG141" i="2" s="1"/>
  <c r="J83" i="10"/>
  <c r="X13" i="2"/>
  <c r="AG13" i="2" s="1"/>
  <c r="B7" i="9"/>
  <c r="B97" i="10"/>
  <c r="A97" i="10" s="1"/>
  <c r="B94" i="10"/>
  <c r="A94" i="10" s="1"/>
  <c r="B95" i="10"/>
  <c r="A95" i="10" s="1"/>
  <c r="H39" i="3"/>
  <c r="AG39" i="2"/>
  <c r="AH39" i="2"/>
  <c r="I39" i="3" s="1"/>
  <c r="K16" i="4"/>
  <c r="I86" i="10" s="1"/>
  <c r="K30" i="4"/>
  <c r="I100" i="10" s="1"/>
  <c r="L28" i="4"/>
  <c r="K40" i="4"/>
  <c r="I110" i="10" s="1"/>
  <c r="H50" i="3"/>
  <c r="AG50" i="2"/>
  <c r="AH50" i="2"/>
  <c r="I50" i="3" s="1"/>
  <c r="J122" i="10"/>
  <c r="X52" i="2"/>
  <c r="AG52" i="2" s="1"/>
  <c r="H82" i="3"/>
  <c r="AH82" i="2"/>
  <c r="I82" i="3" s="1"/>
  <c r="J154" i="10"/>
  <c r="X84" i="2"/>
  <c r="J162" i="10"/>
  <c r="X92" i="2"/>
  <c r="AG92" i="2" s="1"/>
  <c r="H122" i="3"/>
  <c r="AG122" i="2"/>
  <c r="AH122" i="2"/>
  <c r="I122" i="3" s="1"/>
  <c r="J194" i="10"/>
  <c r="X124" i="2"/>
  <c r="AG124" i="2" s="1"/>
  <c r="H144" i="3"/>
  <c r="AH144" i="2"/>
  <c r="I144" i="3" s="1"/>
  <c r="AG144" i="2"/>
  <c r="G7" i="8"/>
  <c r="H7" i="8" s="1"/>
  <c r="H18" i="6"/>
  <c r="AC102" i="2" l="1"/>
  <c r="K102" i="3" s="1"/>
  <c r="AB102" i="2"/>
  <c r="AC112" i="2"/>
  <c r="K112" i="3" s="1"/>
  <c r="AB112" i="2"/>
  <c r="AC116" i="2"/>
  <c r="K116" i="3" s="1"/>
  <c r="AB116" i="2"/>
  <c r="AC76" i="2"/>
  <c r="K76" i="3" s="1"/>
  <c r="AB76" i="2"/>
  <c r="AC43" i="2"/>
  <c r="K43" i="3" s="1"/>
  <c r="AB43" i="2"/>
  <c r="AC94" i="2"/>
  <c r="K94" i="3" s="1"/>
  <c r="AB94" i="2"/>
  <c r="AC54" i="2"/>
  <c r="K54" i="3" s="1"/>
  <c r="AB54" i="2"/>
  <c r="AC104" i="2"/>
  <c r="K104" i="3" s="1"/>
  <c r="AB104" i="2"/>
  <c r="AC64" i="2"/>
  <c r="K64" i="3" s="1"/>
  <c r="AB64" i="2"/>
  <c r="AC154" i="2"/>
  <c r="K154" i="3" s="1"/>
  <c r="AB154" i="2"/>
  <c r="AC120" i="2"/>
  <c r="K120" i="3" s="1"/>
  <c r="AB120" i="2"/>
  <c r="AC98" i="2"/>
  <c r="K98" i="3" s="1"/>
  <c r="AB98" i="2"/>
  <c r="AC141" i="2"/>
  <c r="K141" i="3" s="1"/>
  <c r="AB141" i="2"/>
  <c r="AC52" i="2"/>
  <c r="K52" i="3" s="1"/>
  <c r="AB52" i="2"/>
  <c r="AC13" i="2"/>
  <c r="K13" i="3" s="1"/>
  <c r="AB13" i="2"/>
  <c r="AC62" i="2"/>
  <c r="K62" i="3" s="1"/>
  <c r="AB62" i="2"/>
  <c r="AC133" i="2"/>
  <c r="K133" i="3" s="1"/>
  <c r="AB133" i="2"/>
  <c r="AC138" i="2"/>
  <c r="K138" i="3" s="1"/>
  <c r="AB138" i="2"/>
  <c r="AC68" i="2"/>
  <c r="K68" i="3" s="1"/>
  <c r="AB68" i="2"/>
  <c r="AC149" i="2"/>
  <c r="K149" i="3" s="1"/>
  <c r="AB149" i="2"/>
  <c r="AC130" i="2"/>
  <c r="K130" i="3" s="1"/>
  <c r="AB130" i="2"/>
  <c r="AC152" i="2"/>
  <c r="K152" i="3" s="1"/>
  <c r="AB152" i="2"/>
  <c r="AC124" i="2"/>
  <c r="K124" i="3" s="1"/>
  <c r="AB124" i="2"/>
  <c r="AC128" i="2"/>
  <c r="K128" i="3" s="1"/>
  <c r="AB128" i="2"/>
  <c r="AC139" i="2"/>
  <c r="K139" i="3" s="1"/>
  <c r="AB139" i="2"/>
  <c r="AC153" i="2"/>
  <c r="K153" i="3" s="1"/>
  <c r="AB153" i="2"/>
  <c r="AC114" i="2"/>
  <c r="K114" i="3" s="1"/>
  <c r="AB114" i="2"/>
  <c r="AC136" i="2"/>
  <c r="K136" i="3" s="1"/>
  <c r="AB136" i="2"/>
  <c r="AC140" i="2"/>
  <c r="K140" i="3" s="1"/>
  <c r="AB140" i="2"/>
  <c r="AC80" i="2"/>
  <c r="K80" i="3" s="1"/>
  <c r="AB80" i="2"/>
  <c r="AC56" i="2"/>
  <c r="K56" i="3" s="1"/>
  <c r="AB56" i="2"/>
  <c r="AC132" i="2"/>
  <c r="K132" i="3" s="1"/>
  <c r="AB132" i="2"/>
  <c r="AC82" i="2"/>
  <c r="K82" i="3" s="1"/>
  <c r="AB82" i="2"/>
  <c r="AC60" i="2"/>
  <c r="K60" i="3" s="1"/>
  <c r="AB60" i="2"/>
  <c r="AC58" i="2"/>
  <c r="K58" i="3" s="1"/>
  <c r="AB58" i="2"/>
  <c r="AC92" i="2"/>
  <c r="K92" i="3" s="1"/>
  <c r="AB92" i="2"/>
  <c r="AC146" i="2"/>
  <c r="K146" i="3" s="1"/>
  <c r="AB146" i="2"/>
  <c r="J14" i="10"/>
  <c r="M51" i="10" s="1"/>
  <c r="H14" i="10"/>
  <c r="K51" i="10" s="1"/>
  <c r="K14" i="10"/>
  <c r="N51" i="10" s="1"/>
  <c r="L51" i="10"/>
  <c r="AC86" i="2"/>
  <c r="K86" i="3" s="1"/>
  <c r="AB86" i="2"/>
  <c r="AC148" i="2"/>
  <c r="K148" i="3" s="1"/>
  <c r="AB148" i="2"/>
  <c r="AC118" i="2"/>
  <c r="K118" i="3" s="1"/>
  <c r="AB118" i="2"/>
  <c r="AC78" i="2"/>
  <c r="K78" i="3" s="1"/>
  <c r="AB78" i="2"/>
  <c r="AC134" i="2"/>
  <c r="K134" i="3" s="1"/>
  <c r="AB134" i="2"/>
  <c r="AC84" i="2"/>
  <c r="K84" i="3" s="1"/>
  <c r="AB84" i="2"/>
  <c r="AC93" i="2"/>
  <c r="K93" i="3" s="1"/>
  <c r="AB93" i="2"/>
  <c r="AC88" i="2"/>
  <c r="K88" i="3" s="1"/>
  <c r="AB88" i="2"/>
  <c r="AC66" i="2"/>
  <c r="K66" i="3" s="1"/>
  <c r="AB66" i="2"/>
  <c r="AC17" i="2"/>
  <c r="K17" i="3" s="1"/>
  <c r="AB17" i="2"/>
  <c r="AC108" i="2"/>
  <c r="K108" i="3" s="1"/>
  <c r="AB108" i="2"/>
  <c r="AC125" i="2"/>
  <c r="K125" i="3" s="1"/>
  <c r="AB125" i="2"/>
  <c r="AC117" i="2"/>
  <c r="K117" i="3" s="1"/>
  <c r="AB117" i="2"/>
  <c r="AC87" i="2"/>
  <c r="K87" i="3" s="1"/>
  <c r="AB87" i="2"/>
  <c r="AC79" i="2"/>
  <c r="K79" i="3" s="1"/>
  <c r="AB79" i="2"/>
  <c r="H46" i="3"/>
  <c r="AH46" i="2"/>
  <c r="I46" i="3" s="1"/>
  <c r="AG46" i="2"/>
  <c r="H37" i="3"/>
  <c r="AG37" i="2"/>
  <c r="AH37" i="2"/>
  <c r="I37" i="3" s="1"/>
  <c r="AC22" i="2"/>
  <c r="K22" i="3" s="1"/>
  <c r="AB22" i="2"/>
  <c r="AC135" i="2"/>
  <c r="K135" i="3" s="1"/>
  <c r="AB135" i="2"/>
  <c r="I7" i="8"/>
  <c r="AC113" i="2"/>
  <c r="K113" i="3" s="1"/>
  <c r="AB113" i="2"/>
  <c r="AC97" i="2"/>
  <c r="K97" i="3" s="1"/>
  <c r="AB97" i="2"/>
  <c r="AC65" i="2"/>
  <c r="K65" i="3" s="1"/>
  <c r="AB65" i="2"/>
  <c r="AC137" i="2"/>
  <c r="K137" i="3" s="1"/>
  <c r="AB137" i="2"/>
  <c r="AC35" i="2"/>
  <c r="K35" i="3" s="1"/>
  <c r="AB35" i="2"/>
  <c r="AB24" i="2"/>
  <c r="AC24" i="2"/>
  <c r="K24" i="3" s="1"/>
  <c r="N46" i="10"/>
  <c r="E29" i="7"/>
  <c r="F29" i="3"/>
  <c r="U29" i="2"/>
  <c r="H44" i="3"/>
  <c r="AH44" i="2"/>
  <c r="I44" i="3" s="1"/>
  <c r="AC122" i="2"/>
  <c r="K122" i="3" s="1"/>
  <c r="AB122" i="2"/>
  <c r="B22" i="10"/>
  <c r="I12" i="10"/>
  <c r="AC131" i="2"/>
  <c r="K131" i="3" s="1"/>
  <c r="AB131" i="2"/>
  <c r="H36" i="3"/>
  <c r="AH36" i="2"/>
  <c r="I36" i="3" s="1"/>
  <c r="AG36" i="2"/>
  <c r="J99" i="10"/>
  <c r="X29" i="2"/>
  <c r="N24" i="10"/>
  <c r="E7" i="7"/>
  <c r="F7" i="3"/>
  <c r="U7" i="2"/>
  <c r="B23" i="10"/>
  <c r="AC95" i="2"/>
  <c r="K95" i="3" s="1"/>
  <c r="AB95" i="2"/>
  <c r="AC59" i="2"/>
  <c r="K59" i="3" s="1"/>
  <c r="AB59" i="2"/>
  <c r="AC51" i="2"/>
  <c r="K51" i="3" s="1"/>
  <c r="AB51" i="2"/>
  <c r="AB25" i="2"/>
  <c r="AC25" i="2"/>
  <c r="K25" i="3" s="1"/>
  <c r="AC145" i="2"/>
  <c r="K145" i="3" s="1"/>
  <c r="AB145" i="2"/>
  <c r="J7" i="8"/>
  <c r="AC96" i="2"/>
  <c r="K96" i="3" s="1"/>
  <c r="AB96" i="2"/>
  <c r="J111" i="10"/>
  <c r="X41" i="2"/>
  <c r="AC72" i="2"/>
  <c r="K72" i="3" s="1"/>
  <c r="AB72" i="2"/>
  <c r="H42" i="3"/>
  <c r="AH42" i="2"/>
  <c r="I42" i="3" s="1"/>
  <c r="AG42" i="2"/>
  <c r="J81" i="10"/>
  <c r="X11" i="2"/>
  <c r="AB20" i="2"/>
  <c r="AC20" i="2"/>
  <c r="K20" i="3" s="1"/>
  <c r="J110" i="10"/>
  <c r="X40" i="2"/>
  <c r="H26" i="3"/>
  <c r="AH26" i="2"/>
  <c r="I26" i="3" s="1"/>
  <c r="AG26" i="2"/>
  <c r="H14" i="3"/>
  <c r="AH14" i="2"/>
  <c r="I14" i="3" s="1"/>
  <c r="AG14" i="2"/>
  <c r="J88" i="10"/>
  <c r="X18" i="2"/>
  <c r="AC90" i="2"/>
  <c r="K90" i="3" s="1"/>
  <c r="AB90" i="2"/>
  <c r="AC45" i="2"/>
  <c r="K45" i="3" s="1"/>
  <c r="AB45" i="2"/>
  <c r="AC127" i="2"/>
  <c r="K127" i="3" s="1"/>
  <c r="AB127" i="2"/>
  <c r="AC119" i="2"/>
  <c r="K119" i="3" s="1"/>
  <c r="AB119" i="2"/>
  <c r="AC81" i="2"/>
  <c r="K81" i="3" s="1"/>
  <c r="AB81" i="2"/>
  <c r="AC47" i="2"/>
  <c r="K47" i="3" s="1"/>
  <c r="AB47" i="2"/>
  <c r="AB27" i="2"/>
  <c r="AC27" i="2"/>
  <c r="K27" i="3" s="1"/>
  <c r="H18" i="3"/>
  <c r="AH18" i="2"/>
  <c r="I18" i="3" s="1"/>
  <c r="AG18" i="2"/>
  <c r="AC143" i="2"/>
  <c r="K143" i="3" s="1"/>
  <c r="AB143" i="2"/>
  <c r="H38" i="3"/>
  <c r="AH38" i="2"/>
  <c r="I38" i="3" s="1"/>
  <c r="AG38" i="2"/>
  <c r="I5" i="8"/>
  <c r="AC147" i="2"/>
  <c r="K147" i="3" s="1"/>
  <c r="AB147" i="2"/>
  <c r="N29" i="10"/>
  <c r="E12" i="7"/>
  <c r="F12" i="3"/>
  <c r="U12" i="2"/>
  <c r="I11" i="10"/>
  <c r="AC107" i="2"/>
  <c r="K107" i="3" s="1"/>
  <c r="AB107" i="2"/>
  <c r="AC75" i="2"/>
  <c r="K75" i="3" s="1"/>
  <c r="AB75" i="2"/>
  <c r="N26" i="10"/>
  <c r="E9" i="7"/>
  <c r="H9" i="7" s="1"/>
  <c r="F9" i="3"/>
  <c r="U9" i="2"/>
  <c r="AC109" i="2"/>
  <c r="K109" i="3" s="1"/>
  <c r="AB109" i="2"/>
  <c r="AC101" i="2"/>
  <c r="K101" i="3" s="1"/>
  <c r="AB101" i="2"/>
  <c r="AC77" i="2"/>
  <c r="K77" i="3" s="1"/>
  <c r="AB77" i="2"/>
  <c r="AC69" i="2"/>
  <c r="K69" i="3" s="1"/>
  <c r="AB69" i="2"/>
  <c r="AC61" i="2"/>
  <c r="K61" i="3" s="1"/>
  <c r="AB61" i="2"/>
  <c r="AC150" i="2"/>
  <c r="K150" i="3" s="1"/>
  <c r="AB150" i="2"/>
  <c r="AC110" i="2"/>
  <c r="K110" i="3" s="1"/>
  <c r="AB110" i="2"/>
  <c r="H78" i="7"/>
  <c r="H32" i="3"/>
  <c r="AH32" i="2"/>
  <c r="I32" i="3" s="1"/>
  <c r="H5" i="3"/>
  <c r="AH5" i="2"/>
  <c r="AG5" i="2"/>
  <c r="I15" i="10"/>
  <c r="I13" i="10"/>
  <c r="AC15" i="2"/>
  <c r="K15" i="3" s="1"/>
  <c r="AB15" i="2"/>
  <c r="H129" i="7"/>
  <c r="AC53" i="2"/>
  <c r="K53" i="3" s="1"/>
  <c r="AB53" i="2"/>
  <c r="H27" i="7"/>
  <c r="J102" i="10"/>
  <c r="X32" i="2"/>
  <c r="AG32" i="2" s="1"/>
  <c r="H30" i="3"/>
  <c r="AH30" i="2"/>
  <c r="I30" i="3" s="1"/>
  <c r="AG30" i="2"/>
  <c r="AC19" i="2"/>
  <c r="K19" i="3" s="1"/>
  <c r="AB19" i="2"/>
  <c r="AC106" i="2"/>
  <c r="K106" i="3" s="1"/>
  <c r="AB106" i="2"/>
  <c r="F23" i="10"/>
  <c r="J103" i="10"/>
  <c r="X33" i="2"/>
  <c r="H73" i="7"/>
  <c r="H126" i="7"/>
  <c r="N23" i="10"/>
  <c r="F6" i="3"/>
  <c r="E6" i="7"/>
  <c r="H39" i="7" s="1"/>
  <c r="U6" i="2"/>
  <c r="B24" i="10"/>
  <c r="H146" i="7"/>
  <c r="H44" i="7"/>
  <c r="AC129" i="2"/>
  <c r="K129" i="3" s="1"/>
  <c r="AB129" i="2"/>
  <c r="AC121" i="2"/>
  <c r="K121" i="3" s="1"/>
  <c r="AB121" i="2"/>
  <c r="H93" i="7"/>
  <c r="AC83" i="2"/>
  <c r="K83" i="3" s="1"/>
  <c r="AB83" i="2"/>
  <c r="H37" i="7"/>
  <c r="AC70" i="2"/>
  <c r="K70" i="3" s="1"/>
  <c r="AB70" i="2"/>
  <c r="AC151" i="2"/>
  <c r="K151" i="3" s="1"/>
  <c r="AB151" i="2"/>
  <c r="AC21" i="2"/>
  <c r="K21" i="3" s="1"/>
  <c r="AB21" i="2"/>
  <c r="B11" i="9"/>
  <c r="J6" i="10" s="1"/>
  <c r="AC100" i="2"/>
  <c r="K100" i="3" s="1"/>
  <c r="AB100" i="2"/>
  <c r="AC105" i="2"/>
  <c r="K105" i="3" s="1"/>
  <c r="AB105" i="2"/>
  <c r="AC73" i="2"/>
  <c r="K73" i="3" s="1"/>
  <c r="AB73" i="2"/>
  <c r="AC126" i="2"/>
  <c r="K126" i="3" s="1"/>
  <c r="AB126" i="2"/>
  <c r="J114" i="10"/>
  <c r="X44" i="2"/>
  <c r="AG44" i="2" s="1"/>
  <c r="H115" i="7"/>
  <c r="AC57" i="2"/>
  <c r="K57" i="3" s="1"/>
  <c r="AB57" i="2"/>
  <c r="AC142" i="2"/>
  <c r="K142" i="3" s="1"/>
  <c r="AB142" i="2"/>
  <c r="H55" i="7"/>
  <c r="AC99" i="2"/>
  <c r="K99" i="3" s="1"/>
  <c r="AB99" i="2"/>
  <c r="AC67" i="2"/>
  <c r="K67" i="3" s="1"/>
  <c r="AB67" i="2"/>
  <c r="AC49" i="2"/>
  <c r="K49" i="3" s="1"/>
  <c r="AB49" i="2"/>
  <c r="AC74" i="2"/>
  <c r="K74" i="3" s="1"/>
  <c r="AB74" i="2"/>
  <c r="AC31" i="2"/>
  <c r="K31" i="3" s="1"/>
  <c r="AB31" i="2"/>
  <c r="J98" i="10"/>
  <c r="X28" i="2"/>
  <c r="AC39" i="2"/>
  <c r="K39" i="3" s="1"/>
  <c r="AB39" i="2"/>
  <c r="AC144" i="2"/>
  <c r="K144" i="3" s="1"/>
  <c r="AB144" i="2"/>
  <c r="AC50" i="2"/>
  <c r="K50" i="3" s="1"/>
  <c r="AB50" i="2"/>
  <c r="H40" i="3"/>
  <c r="AH40" i="2"/>
  <c r="I40" i="3" s="1"/>
  <c r="AG40" i="2"/>
  <c r="AC111" i="2"/>
  <c r="K111" i="3" s="1"/>
  <c r="AB111" i="2"/>
  <c r="AC103" i="2"/>
  <c r="K103" i="3" s="1"/>
  <c r="AB103" i="2"/>
  <c r="AC89" i="2"/>
  <c r="K89" i="3" s="1"/>
  <c r="AB89" i="2"/>
  <c r="AC71" i="2"/>
  <c r="K71" i="3" s="1"/>
  <c r="AB71" i="2"/>
  <c r="AC63" i="2"/>
  <c r="K63" i="3" s="1"/>
  <c r="AB63" i="2"/>
  <c r="H137" i="7"/>
  <c r="H34" i="3"/>
  <c r="AH34" i="2"/>
  <c r="I34" i="3" s="1"/>
  <c r="AG34" i="2"/>
  <c r="H58" i="7"/>
  <c r="N25" i="10"/>
  <c r="E8" i="7"/>
  <c r="H106" i="7" s="1"/>
  <c r="F8" i="3"/>
  <c r="U8" i="2"/>
  <c r="B8" i="9"/>
  <c r="F22" i="10"/>
  <c r="H36" i="7"/>
  <c r="AC91" i="2"/>
  <c r="K91" i="3" s="1"/>
  <c r="AB91" i="2"/>
  <c r="AC55" i="2"/>
  <c r="K55" i="3" s="1"/>
  <c r="AB55" i="2"/>
  <c r="H16" i="3"/>
  <c r="AH16" i="2"/>
  <c r="I16" i="3" s="1"/>
  <c r="AG16" i="2"/>
  <c r="H70" i="7"/>
  <c r="H28" i="3"/>
  <c r="AH28" i="2"/>
  <c r="I28" i="3" s="1"/>
  <c r="AG28" i="2"/>
  <c r="J76" i="10"/>
  <c r="X6" i="2"/>
  <c r="B12" i="9"/>
  <c r="AC48" i="2"/>
  <c r="K48" i="3" s="1"/>
  <c r="AB48" i="2"/>
  <c r="H42" i="7"/>
  <c r="AC23" i="2"/>
  <c r="K23" i="3" s="1"/>
  <c r="AB23" i="2"/>
  <c r="H92" i="7"/>
  <c r="H71" i="7"/>
  <c r="H26" i="7"/>
  <c r="N27" i="10"/>
  <c r="E10" i="7"/>
  <c r="F10" i="3"/>
  <c r="U10" i="2"/>
  <c r="H33" i="3"/>
  <c r="AG33" i="2"/>
  <c r="AH33" i="2"/>
  <c r="I33" i="3" s="1"/>
  <c r="H74" i="7"/>
  <c r="J6" i="8"/>
  <c r="AC123" i="2"/>
  <c r="K123" i="3" s="1"/>
  <c r="AB123" i="2"/>
  <c r="AC115" i="2"/>
  <c r="K115" i="3" s="1"/>
  <c r="AB115" i="2"/>
  <c r="H91" i="7"/>
  <c r="AC85" i="2"/>
  <c r="K85" i="3" s="1"/>
  <c r="AB85" i="2"/>
  <c r="H41" i="3"/>
  <c r="AG41" i="2"/>
  <c r="AH41" i="2"/>
  <c r="I41" i="3" s="1"/>
  <c r="H18" i="7"/>
  <c r="E11" i="7"/>
  <c r="N28" i="10"/>
  <c r="F11" i="3"/>
  <c r="U11" i="2"/>
  <c r="I6" i="8"/>
  <c r="AB44" i="2" l="1"/>
  <c r="AC44" i="2"/>
  <c r="K44" i="3" s="1"/>
  <c r="AC32" i="2"/>
  <c r="K32" i="3" s="1"/>
  <c r="AB32" i="2"/>
  <c r="H8" i="3"/>
  <c r="AH8" i="2"/>
  <c r="I8" i="3" s="1"/>
  <c r="AG8" i="2"/>
  <c r="AC40" i="2"/>
  <c r="K40" i="3" s="1"/>
  <c r="AB40" i="2"/>
  <c r="I142" i="7"/>
  <c r="J142" i="3"/>
  <c r="I126" i="7"/>
  <c r="J126" i="3"/>
  <c r="K13" i="10"/>
  <c r="N50" i="10" s="1"/>
  <c r="H13" i="10"/>
  <c r="K50" i="10" s="1"/>
  <c r="L50" i="10"/>
  <c r="J13" i="10"/>
  <c r="M50" i="10" s="1"/>
  <c r="H116" i="7"/>
  <c r="H12" i="3"/>
  <c r="AH12" i="2"/>
  <c r="I12" i="3" s="1"/>
  <c r="AG12" i="2"/>
  <c r="H96" i="7"/>
  <c r="AC14" i="2"/>
  <c r="K14" i="3" s="1"/>
  <c r="AB14" i="2"/>
  <c r="H151" i="7"/>
  <c r="H57" i="7"/>
  <c r="H10" i="7"/>
  <c r="H133" i="7"/>
  <c r="H89" i="7"/>
  <c r="I48" i="7"/>
  <c r="J48" i="3"/>
  <c r="H108" i="7"/>
  <c r="H38" i="7"/>
  <c r="H21" i="7"/>
  <c r="H148" i="7"/>
  <c r="H101" i="7"/>
  <c r="H64" i="7"/>
  <c r="H63" i="7"/>
  <c r="H131" i="7"/>
  <c r="H20" i="7"/>
  <c r="H142" i="7"/>
  <c r="H49" i="7"/>
  <c r="H103" i="7"/>
  <c r="H122" i="7"/>
  <c r="AB30" i="2"/>
  <c r="AC30" i="2"/>
  <c r="K30" i="3" s="1"/>
  <c r="H16" i="7"/>
  <c r="H87" i="7"/>
  <c r="I15" i="7"/>
  <c r="J15" i="3"/>
  <c r="AC5" i="2"/>
  <c r="K5" i="3" s="1"/>
  <c r="AB5" i="2"/>
  <c r="H145" i="7"/>
  <c r="I69" i="7"/>
  <c r="J69" i="3"/>
  <c r="I101" i="7"/>
  <c r="J101" i="3"/>
  <c r="H9" i="3"/>
  <c r="AG9" i="2"/>
  <c r="AH9" i="2"/>
  <c r="I9" i="3" s="1"/>
  <c r="H90" i="7"/>
  <c r="H100" i="7"/>
  <c r="H12" i="7"/>
  <c r="H152" i="7"/>
  <c r="I27" i="7"/>
  <c r="J27" i="3"/>
  <c r="I45" i="7"/>
  <c r="J45" i="3"/>
  <c r="H56" i="7"/>
  <c r="H51" i="7"/>
  <c r="H105" i="7"/>
  <c r="I20" i="7"/>
  <c r="J20" i="3"/>
  <c r="AB42" i="2"/>
  <c r="AC42" i="2"/>
  <c r="K42" i="3" s="1"/>
  <c r="H94" i="7"/>
  <c r="I59" i="7"/>
  <c r="J59" i="3"/>
  <c r="I131" i="7"/>
  <c r="J131" i="3"/>
  <c r="I122" i="7"/>
  <c r="J122" i="3"/>
  <c r="H82" i="7"/>
  <c r="I97" i="7"/>
  <c r="J97" i="3"/>
  <c r="I22" i="7"/>
  <c r="J22" i="3"/>
  <c r="AC37" i="2"/>
  <c r="K37" i="3" s="1"/>
  <c r="AB37" i="2"/>
  <c r="I87" i="7"/>
  <c r="J87" i="3"/>
  <c r="I125" i="7"/>
  <c r="J125" i="3"/>
  <c r="H48" i="7"/>
  <c r="H83" i="7"/>
  <c r="H35" i="7"/>
  <c r="H34" i="7"/>
  <c r="I118" i="7"/>
  <c r="J118" i="3"/>
  <c r="I86" i="7"/>
  <c r="J86" i="3"/>
  <c r="I92" i="7"/>
  <c r="J92" i="3"/>
  <c r="I60" i="7"/>
  <c r="J60" i="3"/>
  <c r="I132" i="7"/>
  <c r="J132" i="3"/>
  <c r="I80" i="7"/>
  <c r="J80" i="3"/>
  <c r="I136" i="7"/>
  <c r="J136" i="3"/>
  <c r="I153" i="7"/>
  <c r="J153" i="3"/>
  <c r="I128" i="7"/>
  <c r="J128" i="3"/>
  <c r="I152" i="7"/>
  <c r="J152" i="3"/>
  <c r="I149" i="7"/>
  <c r="J149" i="3"/>
  <c r="I138" i="7"/>
  <c r="J138" i="3"/>
  <c r="I62" i="7"/>
  <c r="J62" i="3"/>
  <c r="I52" i="7"/>
  <c r="J52" i="3"/>
  <c r="I98" i="7"/>
  <c r="J98" i="3"/>
  <c r="I154" i="7"/>
  <c r="J154" i="3"/>
  <c r="I104" i="7"/>
  <c r="J104" i="3"/>
  <c r="I94" i="7"/>
  <c r="J94" i="3"/>
  <c r="I76" i="7"/>
  <c r="J76" i="3"/>
  <c r="I112" i="7"/>
  <c r="J112" i="3"/>
  <c r="H11" i="3"/>
  <c r="AH11" i="2"/>
  <c r="I11" i="3" s="1"/>
  <c r="AG11" i="2"/>
  <c r="AC33" i="2"/>
  <c r="K33" i="3" s="1"/>
  <c r="AB33" i="2"/>
  <c r="I91" i="7"/>
  <c r="J91" i="3"/>
  <c r="I105" i="7"/>
  <c r="J105" i="3"/>
  <c r="H6" i="3"/>
  <c r="AH6" i="2"/>
  <c r="I6" i="3" s="1"/>
  <c r="AG6" i="2"/>
  <c r="I106" i="7"/>
  <c r="J106" i="3"/>
  <c r="I150" i="7"/>
  <c r="J150" i="3"/>
  <c r="I77" i="7"/>
  <c r="J77" i="3"/>
  <c r="H41" i="7"/>
  <c r="I115" i="7"/>
  <c r="J115" i="3"/>
  <c r="H134" i="7"/>
  <c r="I23" i="7"/>
  <c r="J23" i="3"/>
  <c r="I85" i="7"/>
  <c r="J85" i="3"/>
  <c r="H153" i="7"/>
  <c r="H120" i="7"/>
  <c r="H119" i="7"/>
  <c r="H8" i="7"/>
  <c r="H54" i="7"/>
  <c r="H76" i="7"/>
  <c r="H77" i="7"/>
  <c r="I57" i="7"/>
  <c r="J57" i="3"/>
  <c r="I73" i="7"/>
  <c r="J73" i="3"/>
  <c r="I100" i="7"/>
  <c r="J100" i="3"/>
  <c r="I83" i="7"/>
  <c r="J83" i="3"/>
  <c r="H80" i="7"/>
  <c r="H11" i="7"/>
  <c r="AC41" i="2"/>
  <c r="K41" i="3" s="1"/>
  <c r="AB41" i="2"/>
  <c r="I123" i="7"/>
  <c r="J123" i="3"/>
  <c r="H10" i="3"/>
  <c r="AH10" i="2"/>
  <c r="I10" i="3" s="1"/>
  <c r="AG10" i="2"/>
  <c r="H14" i="7"/>
  <c r="H59" i="7"/>
  <c r="H109" i="7"/>
  <c r="H144" i="7"/>
  <c r="H88" i="7"/>
  <c r="AC28" i="2"/>
  <c r="K28" i="3" s="1"/>
  <c r="AB28" i="2"/>
  <c r="H22" i="7"/>
  <c r="H85" i="7"/>
  <c r="H127" i="7"/>
  <c r="G6" i="10"/>
  <c r="B10" i="9"/>
  <c r="I71" i="7"/>
  <c r="J71" i="3"/>
  <c r="I103" i="7"/>
  <c r="J103" i="3"/>
  <c r="H117" i="7"/>
  <c r="I50" i="7"/>
  <c r="J50" i="3"/>
  <c r="I144" i="7"/>
  <c r="J144" i="3"/>
  <c r="H138" i="7"/>
  <c r="I49" i="7"/>
  <c r="J49" i="3"/>
  <c r="I99" i="7"/>
  <c r="J99" i="3"/>
  <c r="H110" i="7"/>
  <c r="H99" i="7"/>
  <c r="I151" i="7"/>
  <c r="J151" i="3"/>
  <c r="H102" i="7"/>
  <c r="I129" i="7"/>
  <c r="J129" i="3"/>
  <c r="H15" i="7"/>
  <c r="H13" i="7"/>
  <c r="H65" i="7"/>
  <c r="H111" i="7"/>
  <c r="H50" i="7"/>
  <c r="I19" i="7"/>
  <c r="J19" i="3"/>
  <c r="H72" i="7"/>
  <c r="I53" i="7"/>
  <c r="J53" i="3"/>
  <c r="H121" i="7"/>
  <c r="I5" i="3"/>
  <c r="H118" i="7"/>
  <c r="H24" i="7"/>
  <c r="I75" i="7"/>
  <c r="J75" i="3"/>
  <c r="H17" i="7"/>
  <c r="K11" i="10"/>
  <c r="N48" i="10" s="1"/>
  <c r="L48" i="10"/>
  <c r="J11" i="10"/>
  <c r="M48" i="10" s="1"/>
  <c r="H11" i="10"/>
  <c r="K48" i="10" s="1"/>
  <c r="AB38" i="2"/>
  <c r="AC38" i="2"/>
  <c r="K38" i="3" s="1"/>
  <c r="I143" i="7"/>
  <c r="J143" i="3"/>
  <c r="H25" i="7"/>
  <c r="I81" i="7"/>
  <c r="J81" i="3"/>
  <c r="I127" i="7"/>
  <c r="J127" i="3"/>
  <c r="H104" i="7"/>
  <c r="H140" i="7"/>
  <c r="H67" i="7"/>
  <c r="H113" i="7"/>
  <c r="H132" i="7"/>
  <c r="H86" i="7"/>
  <c r="I96" i="7"/>
  <c r="J96" i="3"/>
  <c r="H130" i="7"/>
  <c r="I25" i="7"/>
  <c r="J25" i="3"/>
  <c r="H123" i="7"/>
  <c r="H7" i="7"/>
  <c r="AC36" i="2"/>
  <c r="K36" i="3" s="1"/>
  <c r="AB36" i="2"/>
  <c r="H29" i="3"/>
  <c r="AG29" i="2"/>
  <c r="AH29" i="2"/>
  <c r="I29" i="3" s="1"/>
  <c r="H150" i="7"/>
  <c r="I35" i="7"/>
  <c r="J35" i="3"/>
  <c r="H61" i="7"/>
  <c r="I135" i="7"/>
  <c r="J135" i="3"/>
  <c r="H53" i="7"/>
  <c r="H147" i="7"/>
  <c r="I66" i="7"/>
  <c r="J66" i="3"/>
  <c r="I88" i="7"/>
  <c r="J88" i="3"/>
  <c r="I93" i="7"/>
  <c r="J93" i="3"/>
  <c r="H43" i="7"/>
  <c r="H5" i="7"/>
  <c r="H32" i="7"/>
  <c r="AC26" i="2"/>
  <c r="K26" i="3" s="1"/>
  <c r="AB26" i="2"/>
  <c r="H75" i="7"/>
  <c r="H60" i="7"/>
  <c r="H28" i="7"/>
  <c r="I145" i="7"/>
  <c r="J145" i="3"/>
  <c r="I51" i="7"/>
  <c r="J51" i="3"/>
  <c r="H81" i="7"/>
  <c r="H12" i="10"/>
  <c r="K49" i="10" s="1"/>
  <c r="K12" i="10"/>
  <c r="N49" i="10" s="1"/>
  <c r="L49" i="10"/>
  <c r="J12" i="10"/>
  <c r="M49" i="10" s="1"/>
  <c r="I65" i="7"/>
  <c r="J65" i="3"/>
  <c r="I113" i="7"/>
  <c r="J113" i="3"/>
  <c r="H62" i="7"/>
  <c r="AB46" i="2"/>
  <c r="AC46" i="2"/>
  <c r="K46" i="3" s="1"/>
  <c r="I79" i="7"/>
  <c r="J79" i="3"/>
  <c r="I117" i="7"/>
  <c r="J117" i="3"/>
  <c r="H52" i="7"/>
  <c r="H107" i="7"/>
  <c r="I134" i="7"/>
  <c r="J134" i="3"/>
  <c r="I78" i="7"/>
  <c r="J78" i="3"/>
  <c r="I148" i="7"/>
  <c r="J148" i="3"/>
  <c r="I146" i="7"/>
  <c r="J146" i="3"/>
  <c r="I58" i="7"/>
  <c r="J58" i="3"/>
  <c r="I82" i="7"/>
  <c r="J82" i="3"/>
  <c r="I56" i="7"/>
  <c r="J56" i="3"/>
  <c r="I140" i="7"/>
  <c r="J140" i="3"/>
  <c r="J114" i="3"/>
  <c r="I114" i="7"/>
  <c r="I139" i="7"/>
  <c r="J139" i="3"/>
  <c r="I124" i="7"/>
  <c r="J124" i="3"/>
  <c r="I130" i="7"/>
  <c r="J130" i="3"/>
  <c r="I68" i="7"/>
  <c r="J68" i="3"/>
  <c r="I133" i="7"/>
  <c r="J133" i="3"/>
  <c r="I13" i="7"/>
  <c r="J13" i="3"/>
  <c r="I141" i="7"/>
  <c r="J141" i="3"/>
  <c r="I120" i="7"/>
  <c r="J120" i="3"/>
  <c r="I64" i="7"/>
  <c r="J64" i="3"/>
  <c r="I54" i="7"/>
  <c r="J54" i="3"/>
  <c r="I43" i="7"/>
  <c r="J43" i="3"/>
  <c r="I116" i="7"/>
  <c r="J116" i="3"/>
  <c r="I102" i="7"/>
  <c r="J102" i="3"/>
  <c r="I55" i="7"/>
  <c r="J55" i="3"/>
  <c r="I74" i="7"/>
  <c r="J74" i="3"/>
  <c r="I61" i="7"/>
  <c r="J61" i="3"/>
  <c r="I109" i="7"/>
  <c r="J109" i="3"/>
  <c r="I147" i="7"/>
  <c r="J147" i="3"/>
  <c r="I90" i="7"/>
  <c r="J90" i="3"/>
  <c r="H19" i="7"/>
  <c r="H124" i="7"/>
  <c r="AB16" i="2"/>
  <c r="AC16" i="2"/>
  <c r="K16" i="3" s="1"/>
  <c r="AB34" i="2"/>
  <c r="AC34" i="2"/>
  <c r="K34" i="3" s="1"/>
  <c r="I63" i="7"/>
  <c r="J63" i="3"/>
  <c r="I89" i="7"/>
  <c r="J89" i="3"/>
  <c r="I111" i="7"/>
  <c r="J111" i="3"/>
  <c r="H66" i="7"/>
  <c r="I39" i="7"/>
  <c r="J39" i="3"/>
  <c r="I31" i="7"/>
  <c r="J31" i="3"/>
  <c r="I67" i="7"/>
  <c r="J67" i="3"/>
  <c r="H40" i="7"/>
  <c r="H69" i="7"/>
  <c r="H125" i="7"/>
  <c r="I21" i="7"/>
  <c r="J21" i="3"/>
  <c r="I70" i="7"/>
  <c r="J70" i="3"/>
  <c r="H46" i="7"/>
  <c r="I121" i="7"/>
  <c r="J121" i="3"/>
  <c r="H84" i="7"/>
  <c r="H114" i="7"/>
  <c r="H128" i="7"/>
  <c r="H6" i="7"/>
  <c r="H23" i="7"/>
  <c r="H45" i="7"/>
  <c r="H98" i="7"/>
  <c r="H136" i="7"/>
  <c r="H141" i="7"/>
  <c r="H95" i="7"/>
  <c r="H143" i="7"/>
  <c r="H154" i="7"/>
  <c r="H79" i="7"/>
  <c r="H68" i="7"/>
  <c r="K15" i="10"/>
  <c r="N52" i="10" s="1"/>
  <c r="L52" i="10"/>
  <c r="H15" i="10"/>
  <c r="K52" i="10" s="1"/>
  <c r="J15" i="10"/>
  <c r="M52" i="10" s="1"/>
  <c r="I110" i="7"/>
  <c r="J110" i="3"/>
  <c r="I107" i="7"/>
  <c r="J107" i="3"/>
  <c r="H112" i="7"/>
  <c r="AC18" i="2"/>
  <c r="K18" i="3" s="1"/>
  <c r="AB18" i="2"/>
  <c r="I47" i="7"/>
  <c r="J47" i="3"/>
  <c r="I119" i="7"/>
  <c r="J119" i="3"/>
  <c r="H139" i="7"/>
  <c r="H33" i="7"/>
  <c r="H149" i="7"/>
  <c r="H97" i="7"/>
  <c r="I72" i="7"/>
  <c r="J72" i="3"/>
  <c r="I95" i="7"/>
  <c r="J95" i="3"/>
  <c r="H7" i="3"/>
  <c r="AG7" i="2"/>
  <c r="AH7" i="2"/>
  <c r="I7" i="3" s="1"/>
  <c r="H29" i="7"/>
  <c r="I24" i="7"/>
  <c r="J24" i="3"/>
  <c r="I137" i="7"/>
  <c r="J137" i="3"/>
  <c r="H135" i="7"/>
  <c r="I108" i="7"/>
  <c r="J108" i="3"/>
  <c r="I17" i="7"/>
  <c r="J17" i="3"/>
  <c r="H30" i="7"/>
  <c r="H47" i="7"/>
  <c r="I84" i="7"/>
  <c r="J84" i="3"/>
  <c r="H31" i="7"/>
  <c r="I28" i="7" l="1"/>
  <c r="J28" i="3"/>
  <c r="I41" i="7"/>
  <c r="J41" i="3"/>
  <c r="I33" i="7"/>
  <c r="J33" i="3"/>
  <c r="I42" i="7"/>
  <c r="J42" i="3"/>
  <c r="I14" i="7"/>
  <c r="J14" i="3"/>
  <c r="I32" i="7"/>
  <c r="J32" i="3"/>
  <c r="I16" i="7"/>
  <c r="J16" i="3"/>
  <c r="I26" i="7"/>
  <c r="J26" i="3"/>
  <c r="AC29" i="2"/>
  <c r="K29" i="3" s="1"/>
  <c r="AB29" i="2"/>
  <c r="B14" i="9"/>
  <c r="M6" i="10" s="1"/>
  <c r="AB6" i="2"/>
  <c r="AC6" i="2"/>
  <c r="K6" i="3" s="1"/>
  <c r="I18" i="6"/>
  <c r="I37" i="7"/>
  <c r="J37" i="3"/>
  <c r="B19" i="9"/>
  <c r="AC8" i="2"/>
  <c r="K8" i="3" s="1"/>
  <c r="AB8" i="2"/>
  <c r="I20" i="6"/>
  <c r="I18" i="7"/>
  <c r="J18" i="3"/>
  <c r="I38" i="7"/>
  <c r="J38" i="3"/>
  <c r="B15" i="9"/>
  <c r="AB11" i="2"/>
  <c r="AC11" i="2"/>
  <c r="K11" i="3" s="1"/>
  <c r="I23" i="6"/>
  <c r="I17" i="6"/>
  <c r="AB7" i="2"/>
  <c r="AC7" i="2"/>
  <c r="K7" i="3" s="1"/>
  <c r="I19" i="6"/>
  <c r="J34" i="3"/>
  <c r="I34" i="7"/>
  <c r="I46" i="7"/>
  <c r="J46" i="3"/>
  <c r="I36" i="7"/>
  <c r="J36" i="3"/>
  <c r="AC10" i="2"/>
  <c r="K10" i="3" s="1"/>
  <c r="AB10" i="2"/>
  <c r="I22" i="6"/>
  <c r="AB9" i="2"/>
  <c r="AC9" i="2"/>
  <c r="K9" i="3" s="1"/>
  <c r="I21" i="6"/>
  <c r="I5" i="7"/>
  <c r="J5" i="3"/>
  <c r="I30" i="7"/>
  <c r="J30" i="3"/>
  <c r="AC12" i="2"/>
  <c r="K12" i="3" s="1"/>
  <c r="AB12" i="2"/>
  <c r="I24" i="6"/>
  <c r="I40" i="7"/>
  <c r="J40" i="3"/>
  <c r="I44" i="7"/>
  <c r="J44" i="3"/>
  <c r="I10" i="7" l="1"/>
  <c r="J10" i="3"/>
  <c r="I6" i="7"/>
  <c r="J6" i="3"/>
  <c r="I8" i="7"/>
  <c r="J8" i="3"/>
  <c r="I12" i="7"/>
  <c r="J12" i="3"/>
  <c r="I9" i="7"/>
  <c r="J9" i="3"/>
  <c r="I7" i="7"/>
  <c r="J7" i="3"/>
  <c r="I11" i="7"/>
  <c r="J11" i="3"/>
  <c r="I29" i="7"/>
  <c r="J29" i="3"/>
</calcChain>
</file>

<file path=xl/sharedStrings.xml><?xml version="1.0" encoding="utf-8"?>
<sst xmlns="http://schemas.openxmlformats.org/spreadsheetml/2006/main" count="1342" uniqueCount="386">
  <si>
    <t>Raw Investment Data</t>
  </si>
  <si>
    <t>ApexNova Technologies Ltd. | FY2025-26 | 150 realistic corporate investment records</t>
  </si>
  <si>
    <t>Investment_ID</t>
  </si>
  <si>
    <t>Investment_Name</t>
  </si>
  <si>
    <t>Investment_Category</t>
  </si>
  <si>
    <t>Department</t>
  </si>
  <si>
    <t>Region</t>
  </si>
  <si>
    <t>Start_Date</t>
  </si>
  <si>
    <t>End_Date</t>
  </si>
  <si>
    <t>Initial_Investment</t>
  </si>
  <si>
    <t>Additional_Investment</t>
  </si>
  <si>
    <t>Budgeted_Investment</t>
  </si>
  <si>
    <t>Expected_Revenue</t>
  </si>
  <si>
    <t>Actual_Revenue</t>
  </si>
  <si>
    <t>Expected_Cost_Savings</t>
  </si>
  <si>
    <t>Actual_Cost_Savings</t>
  </si>
  <si>
    <t>Investment_Status</t>
  </si>
  <si>
    <t>Risk_Level</t>
  </si>
  <si>
    <t>INV-001</t>
  </si>
  <si>
    <t>ERP Cloud Migration – Central</t>
  </si>
  <si>
    <t>Technology</t>
  </si>
  <si>
    <t>HR</t>
  </si>
  <si>
    <t>Central</t>
  </si>
  <si>
    <t>Active</t>
  </si>
  <si>
    <t>Low</t>
  </si>
  <si>
    <t>INV-002</t>
  </si>
  <si>
    <t>Brand Repositioning – South</t>
  </si>
  <si>
    <t>Marketing</t>
  </si>
  <si>
    <t>Supply Chain</t>
  </si>
  <si>
    <t>South</t>
  </si>
  <si>
    <t>Completed</t>
  </si>
  <si>
    <t>High</t>
  </si>
  <si>
    <t>INV-003</t>
  </si>
  <si>
    <t>Premium Product Line – West</t>
  </si>
  <si>
    <t>Product Development</t>
  </si>
  <si>
    <t>Operations</t>
  </si>
  <si>
    <t>West</t>
  </si>
  <si>
    <t>Cancelled</t>
  </si>
  <si>
    <t>Medium</t>
  </si>
  <si>
    <t>INV-004</t>
  </si>
  <si>
    <t>Tier-2 City Expansion – North</t>
  </si>
  <si>
    <t>Expansion</t>
  </si>
  <si>
    <t>Finance</t>
  </si>
  <si>
    <t>North</t>
  </si>
  <si>
    <t>On Hold</t>
  </si>
  <si>
    <t>INV-005</t>
  </si>
  <si>
    <t>Automated Packaging Line – East</t>
  </si>
  <si>
    <t>Equipment</t>
  </si>
  <si>
    <t>Sales</t>
  </si>
  <si>
    <t>East</t>
  </si>
  <si>
    <t>INV-006</t>
  </si>
  <si>
    <t>RPA Finance Rollout – Central</t>
  </si>
  <si>
    <t>Automation</t>
  </si>
  <si>
    <t>IT</t>
  </si>
  <si>
    <t>INV-007</t>
  </si>
  <si>
    <t>Leadership Development – South</t>
  </si>
  <si>
    <t>Training</t>
  </si>
  <si>
    <t>Product</t>
  </si>
  <si>
    <t>INV-008</t>
  </si>
  <si>
    <t>Plant Utility Upgrade – West</t>
  </si>
  <si>
    <t>Infrastructure</t>
  </si>
  <si>
    <t>INV-009</t>
  </si>
  <si>
    <t>ERP Cloud Migration – North</t>
  </si>
  <si>
    <t>INV-010</t>
  </si>
  <si>
    <t>Brand Repositioning – East</t>
  </si>
  <si>
    <t>INV-011</t>
  </si>
  <si>
    <t>Premium Product Line – Central</t>
  </si>
  <si>
    <t>INV-012</t>
  </si>
  <si>
    <t>Tier-2 City Expansion – South</t>
  </si>
  <si>
    <t>INV-013</t>
  </si>
  <si>
    <t>Automated Packaging Line – West</t>
  </si>
  <si>
    <t>INV-014</t>
  </si>
  <si>
    <t>RPA Finance Rollout – North</t>
  </si>
  <si>
    <t>INV-015</t>
  </si>
  <si>
    <t>Leadership Development – East</t>
  </si>
  <si>
    <t>INV-016</t>
  </si>
  <si>
    <t>Plant Utility Upgrade – Central</t>
  </si>
  <si>
    <t>INV-017</t>
  </si>
  <si>
    <t>ERP Cloud Migration – South</t>
  </si>
  <si>
    <t>INV-018</t>
  </si>
  <si>
    <t>Brand Repositioning – West</t>
  </si>
  <si>
    <t>INV-019</t>
  </si>
  <si>
    <t>Premium Product Line – North</t>
  </si>
  <si>
    <t>INV-020</t>
  </si>
  <si>
    <t>Tier-2 City Expansion – East</t>
  </si>
  <si>
    <t>INV-021</t>
  </si>
  <si>
    <t>Automated Packaging Line – Central</t>
  </si>
  <si>
    <t>INV-022</t>
  </si>
  <si>
    <t>RPA Finance Rollout – South</t>
  </si>
  <si>
    <t>INV-023</t>
  </si>
  <si>
    <t>Leadership Development – West</t>
  </si>
  <si>
    <t>INV-024</t>
  </si>
  <si>
    <t>Plant Utility Upgrade – North</t>
  </si>
  <si>
    <t>INV-025</t>
  </si>
  <si>
    <t>ERP Cloud Migration – East</t>
  </si>
  <si>
    <t>INV-026</t>
  </si>
  <si>
    <t>Brand Repositioning – Central</t>
  </si>
  <si>
    <t>INV-027</t>
  </si>
  <si>
    <t>Premium Product Line – South</t>
  </si>
  <si>
    <t>INV-028</t>
  </si>
  <si>
    <t>Tier-2 City Expansion – West</t>
  </si>
  <si>
    <t>INV-029</t>
  </si>
  <si>
    <t>Automated Packaging Line – North</t>
  </si>
  <si>
    <t>INV-030</t>
  </si>
  <si>
    <t>RPA Finance Rollout – East</t>
  </si>
  <si>
    <t>INV-031</t>
  </si>
  <si>
    <t>Leadership Development – Central</t>
  </si>
  <si>
    <t>INV-032</t>
  </si>
  <si>
    <t>Plant Utility Upgrade – South</t>
  </si>
  <si>
    <t>INV-033</t>
  </si>
  <si>
    <t>ERP Cloud Migration – West</t>
  </si>
  <si>
    <t>INV-034</t>
  </si>
  <si>
    <t>Brand Repositioning – North</t>
  </si>
  <si>
    <t>INV-035</t>
  </si>
  <si>
    <t>Premium Product Line – East</t>
  </si>
  <si>
    <t>INV-036</t>
  </si>
  <si>
    <t>Tier-2 City Expansion – Central</t>
  </si>
  <si>
    <t>INV-037</t>
  </si>
  <si>
    <t>Automated Packaging Line – South</t>
  </si>
  <si>
    <t>INV-038</t>
  </si>
  <si>
    <t>RPA Finance Rollout – West</t>
  </si>
  <si>
    <t>INV-039</t>
  </si>
  <si>
    <t>Leadership Development – North</t>
  </si>
  <si>
    <t>INV-040</t>
  </si>
  <si>
    <t>Plant Utility Upgrade – East</t>
  </si>
  <si>
    <t>INV-041</t>
  </si>
  <si>
    <t>INV-042</t>
  </si>
  <si>
    <t>INV-043</t>
  </si>
  <si>
    <t>INV-044</t>
  </si>
  <si>
    <t>INV-045</t>
  </si>
  <si>
    <t>INV-046</t>
  </si>
  <si>
    <t>INV-047</t>
  </si>
  <si>
    <t>INV-048</t>
  </si>
  <si>
    <t>INV-049</t>
  </si>
  <si>
    <t>INV-050</t>
  </si>
  <si>
    <t>INV-051</t>
  </si>
  <si>
    <t>INV-052</t>
  </si>
  <si>
    <t>INV-053</t>
  </si>
  <si>
    <t>INV-054</t>
  </si>
  <si>
    <t>INV-055</t>
  </si>
  <si>
    <t>INV-056</t>
  </si>
  <si>
    <t>INV-057</t>
  </si>
  <si>
    <t>INV-058</t>
  </si>
  <si>
    <t>INV-059</t>
  </si>
  <si>
    <t>INV-060</t>
  </si>
  <si>
    <t>INV-061</t>
  </si>
  <si>
    <t>INV-062</t>
  </si>
  <si>
    <t>INV-063</t>
  </si>
  <si>
    <t>INV-064</t>
  </si>
  <si>
    <t>INV-065</t>
  </si>
  <si>
    <t>INV-066</t>
  </si>
  <si>
    <t>INV-067</t>
  </si>
  <si>
    <t>INV-068</t>
  </si>
  <si>
    <t>INV-069</t>
  </si>
  <si>
    <t>INV-070</t>
  </si>
  <si>
    <t>INV-071</t>
  </si>
  <si>
    <t>INV-072</t>
  </si>
  <si>
    <t>INV-073</t>
  </si>
  <si>
    <t>INV-074</t>
  </si>
  <si>
    <t>INV-075</t>
  </si>
  <si>
    <t>INV-076</t>
  </si>
  <si>
    <t>INV-077</t>
  </si>
  <si>
    <t>INV-078</t>
  </si>
  <si>
    <t>INV-079</t>
  </si>
  <si>
    <t>INV-080</t>
  </si>
  <si>
    <t>INV-081</t>
  </si>
  <si>
    <t>INV-082</t>
  </si>
  <si>
    <t>INV-083</t>
  </si>
  <si>
    <t>INV-084</t>
  </si>
  <si>
    <t>INV-085</t>
  </si>
  <si>
    <t>INV-086</t>
  </si>
  <si>
    <t>INV-087</t>
  </si>
  <si>
    <t>INV-088</t>
  </si>
  <si>
    <t>INV-089</t>
  </si>
  <si>
    <t>INV-090</t>
  </si>
  <si>
    <t>INV-091</t>
  </si>
  <si>
    <t>INV-092</t>
  </si>
  <si>
    <t>INV-093</t>
  </si>
  <si>
    <t>INV-094</t>
  </si>
  <si>
    <t>INV-095</t>
  </si>
  <si>
    <t>INV-096</t>
  </si>
  <si>
    <t>INV-097</t>
  </si>
  <si>
    <t>INV-098</t>
  </si>
  <si>
    <t>INV-099</t>
  </si>
  <si>
    <t>INV-100</t>
  </si>
  <si>
    <t>INV-101</t>
  </si>
  <si>
    <t>INV-102</t>
  </si>
  <si>
    <t>INV-103</t>
  </si>
  <si>
    <t>INV-104</t>
  </si>
  <si>
    <t>INV-105</t>
  </si>
  <si>
    <t>INV-106</t>
  </si>
  <si>
    <t>INV-107</t>
  </si>
  <si>
    <t>INV-108</t>
  </si>
  <si>
    <t>INV-109</t>
  </si>
  <si>
    <t>INV-110</t>
  </si>
  <si>
    <t>INV-111</t>
  </si>
  <si>
    <t>INV-112</t>
  </si>
  <si>
    <t>INV-113</t>
  </si>
  <si>
    <t>INV-114</t>
  </si>
  <si>
    <t>INV-115</t>
  </si>
  <si>
    <t>INV-116</t>
  </si>
  <si>
    <t>INV-117</t>
  </si>
  <si>
    <t>INV-118</t>
  </si>
  <si>
    <t>INV-119</t>
  </si>
  <si>
    <t>INV-120</t>
  </si>
  <si>
    <t>INV-121</t>
  </si>
  <si>
    <t>INV-122</t>
  </si>
  <si>
    <t>INV-123</t>
  </si>
  <si>
    <t>INV-124</t>
  </si>
  <si>
    <t>INV-125</t>
  </si>
  <si>
    <t>INV-126</t>
  </si>
  <si>
    <t>INV-127</t>
  </si>
  <si>
    <t>INV-128</t>
  </si>
  <si>
    <t>INV-129</t>
  </si>
  <si>
    <t>INV-130</t>
  </si>
  <si>
    <t>INV-131</t>
  </si>
  <si>
    <t>INV-132</t>
  </si>
  <si>
    <t>INV-133</t>
  </si>
  <si>
    <t>INV-134</t>
  </si>
  <si>
    <t>INV-135</t>
  </si>
  <si>
    <t>INV-136</t>
  </si>
  <si>
    <t>INV-137</t>
  </si>
  <si>
    <t>INV-138</t>
  </si>
  <si>
    <t>INV-139</t>
  </si>
  <si>
    <t>INV-140</t>
  </si>
  <si>
    <t>INV-141</t>
  </si>
  <si>
    <t>INV-142</t>
  </si>
  <si>
    <t>INV-143</t>
  </si>
  <si>
    <t>INV-144</t>
  </si>
  <si>
    <t>INV-145</t>
  </si>
  <si>
    <t>INV-146</t>
  </si>
  <si>
    <t>INV-147</t>
  </si>
  <si>
    <t>INV-148</t>
  </si>
  <si>
    <t>INV-149</t>
  </si>
  <si>
    <t>INV-150</t>
  </si>
  <si>
    <t>Investment Master &amp; KPI Calculations</t>
  </si>
  <si>
    <t>Formula-driven master table | ApexNova Technologies Ltd.</t>
  </si>
  <si>
    <t>Total_Investment</t>
  </si>
  <si>
    <t>Expected_Return</t>
  </si>
  <si>
    <t>Actual_Return</t>
  </si>
  <si>
    <t>Net_Benefit</t>
  </si>
  <si>
    <t>ROI_Pct</t>
  </si>
  <si>
    <t>Target_ROI_Pct</t>
  </si>
  <si>
    <t>ROI_Variance</t>
  </si>
  <si>
    <t>Payback_Years</t>
  </si>
  <si>
    <t>NPV</t>
  </si>
  <si>
    <t>IRR_Pct</t>
  </si>
  <si>
    <t>Discount_Rate</t>
  </si>
  <si>
    <t>Performance_Rating</t>
  </si>
  <si>
    <t>Decision_Recommendation</t>
  </si>
  <si>
    <t>Revenue_Achievement_Pct</t>
  </si>
  <si>
    <t>Cost_Saving_Achievement_Pct</t>
  </si>
  <si>
    <t>Investment_Variance</t>
  </si>
  <si>
    <t>Performance_Score</t>
  </si>
  <si>
    <t>ROI_Classification</t>
  </si>
  <si>
    <t>ROI &amp; Target Variance Analysis</t>
  </si>
  <si>
    <t>Actual ROI vs target ROI with management classification</t>
  </si>
  <si>
    <t>Category</t>
  </si>
  <si>
    <t>Total Investment</t>
  </si>
  <si>
    <t>Actual ROI</t>
  </si>
  <si>
    <t>Target ROI</t>
  </si>
  <si>
    <t>ROI Variance</t>
  </si>
  <si>
    <t>ROI Classification</t>
  </si>
  <si>
    <t>Performance Rating</t>
  </si>
  <si>
    <t>Recommendation</t>
  </si>
  <si>
    <t>NPV, IRR &amp; Cash Flow Analysis</t>
  </si>
  <si>
    <t>Five-year illustrative cash-flow schedule for investment evaluation</t>
  </si>
  <si>
    <t>Initial Investment</t>
  </si>
  <si>
    <t>Discount Rate</t>
  </si>
  <si>
    <t>Year 0</t>
  </si>
  <si>
    <t>Year 1</t>
  </si>
  <si>
    <t>Year 2</t>
  </si>
  <si>
    <t>Year 3</t>
  </si>
  <si>
    <t>Year 4</t>
  </si>
  <si>
    <t>Year 5</t>
  </si>
  <si>
    <t>IRR</t>
  </si>
  <si>
    <t>Payback Years</t>
  </si>
  <si>
    <t>Budget vs Actual Investment</t>
  </si>
  <si>
    <t>Capital spending control and cost-overrun monitoring</t>
  </si>
  <si>
    <t>Budgeted Investment</t>
  </si>
  <si>
    <t>Actual Investment</t>
  </si>
  <si>
    <t>Variance</t>
  </si>
  <si>
    <t>Variance %</t>
  </si>
  <si>
    <t>Status</t>
  </si>
  <si>
    <t>Department &amp; Category Analysis</t>
  </si>
  <si>
    <t>Aggregated capital allocation, financial benefit and performance</t>
  </si>
  <si>
    <t>Actual Revenue</t>
  </si>
  <si>
    <t>Cost Savings</t>
  </si>
  <si>
    <t>Net Benefit</t>
  </si>
  <si>
    <t>ROI</t>
  </si>
  <si>
    <t>Avg NPV</t>
  </si>
  <si>
    <t>Avg Payback</t>
  </si>
  <si>
    <t>Avg Risk Score</t>
  </si>
  <si>
    <t>Investments</t>
  </si>
  <si>
    <t>Category Analysis</t>
  </si>
  <si>
    <t>Revenue</t>
  </si>
  <si>
    <t>Savings</t>
  </si>
  <si>
    <t>Avg Score</t>
  </si>
  <si>
    <t>Risk vs Return Analysis</t>
  </si>
  <si>
    <t>Four-quadrant capital allocation view</t>
  </si>
  <si>
    <t>Risk_Score</t>
  </si>
  <si>
    <t>Actual Return</t>
  </si>
  <si>
    <t>Quadrant</t>
  </si>
  <si>
    <t>Scenario &amp; What-If Analysis</t>
  </si>
  <si>
    <t>Portfolio-level sensitivity using Base, Best and Worst cases</t>
  </si>
  <si>
    <t>Scenario</t>
  </si>
  <si>
    <t>Revenue Multiplier</t>
  </si>
  <si>
    <t>Savings Multiplier</t>
  </si>
  <si>
    <t>Cost Multiplier</t>
  </si>
  <si>
    <t>Financial Benefit</t>
  </si>
  <si>
    <t>Best Case</t>
  </si>
  <si>
    <t>Base Case</t>
  </si>
  <si>
    <t>Worst Case</t>
  </si>
  <si>
    <t>Interpretation</t>
  </si>
  <si>
    <t>Best Case: revenue and savings outperform while costs remain below plan.</t>
  </si>
  <si>
    <t>Base Case: current modeled expectations.</t>
  </si>
  <si>
    <t>Worst Case: demand and savings weaken while costs rise; management should protect cash and review marginal projects.</t>
  </si>
  <si>
    <t>Investment KPI Summary</t>
  </si>
  <si>
    <t>Executive KPI layer | ApexNova Technologies Ltd.</t>
  </si>
  <si>
    <t>KPI</t>
  </si>
  <si>
    <t>Value</t>
  </si>
  <si>
    <t>Management Meaning</t>
  </si>
  <si>
    <t>Capital committed across monitored investments.</t>
  </si>
  <si>
    <t>Total Financial Benefit</t>
  </si>
  <si>
    <t>Revenue + savings generated by investments.</t>
  </si>
  <si>
    <t>Total Net Benefit</t>
  </si>
  <si>
    <t>Financial benefit after capital invested.</t>
  </si>
  <si>
    <t>Average ROI</t>
  </si>
  <si>
    <t>Efficiency of capital deployment.</t>
  </si>
  <si>
    <t>Average Target ROI</t>
  </si>
  <si>
    <t>Planned return benchmark.</t>
  </si>
  <si>
    <t>Actual ROI versus target.</t>
  </si>
  <si>
    <t>Total NPV</t>
  </si>
  <si>
    <t>Value created after discounting modeled cash flows.</t>
  </si>
  <si>
    <t>Average IRR</t>
  </si>
  <si>
    <t>Return threshold implied by modeled cash flows.</t>
  </si>
  <si>
    <t>Average Payback</t>
  </si>
  <si>
    <t>Time to recover capital.</t>
  </si>
  <si>
    <t>Above Target</t>
  </si>
  <si>
    <t>Projects meeting/exceeding target.</t>
  </si>
  <si>
    <t>Below Target</t>
  </si>
  <si>
    <t>Projects missing target.</t>
  </si>
  <si>
    <t>Within Budget</t>
  </si>
  <si>
    <t>Projects delivered within budget.</t>
  </si>
  <si>
    <t>Significant Overruns</t>
  </si>
  <si>
    <t>Projects with &gt;5% budget overrun.</t>
  </si>
  <si>
    <t>High Risk Investments</t>
  </si>
  <si>
    <t>Projects requiring closer risk monitoring.</t>
  </si>
  <si>
    <t>Average Performance Score</t>
  </si>
  <si>
    <t>Composite decision-support score.</t>
  </si>
  <si>
    <t>INVESTMENT KPI &amp; ROI TRACKING DASHBOARD</t>
  </si>
  <si>
    <t>ApexNova Technologies Ltd. | FY2025-26 | Finance / FP&amp;A / Corporate Strategy</t>
  </si>
  <si>
    <t>FILTERS / MANAGEMENT VIEW</t>
  </si>
  <si>
    <t>Year</t>
  </si>
  <si>
    <t>Risk Level</t>
  </si>
  <si>
    <t>All</t>
  </si>
  <si>
    <t>Investment</t>
  </si>
  <si>
    <t>Score</t>
  </si>
  <si>
    <t>Avg ROI</t>
  </si>
  <si>
    <t>Count</t>
  </si>
  <si>
    <t>Period</t>
  </si>
  <si>
    <t>Metric</t>
  </si>
  <si>
    <t>Budget</t>
  </si>
  <si>
    <t>Actual</t>
  </si>
  <si>
    <t>Risk Score (1=Low, 3=High)</t>
  </si>
  <si>
    <t>Q1 FY25</t>
  </si>
  <si>
    <t>Capital</t>
  </si>
  <si>
    <t>Q2 FY25</t>
  </si>
  <si>
    <t>Q3 FY25</t>
  </si>
  <si>
    <t>Q4 FY25</t>
  </si>
  <si>
    <t>Q1 FY26</t>
  </si>
  <si>
    <t>Q2 FY26</t>
  </si>
  <si>
    <t>Q3 FY26</t>
  </si>
  <si>
    <t>Q4 FY26</t>
  </si>
  <si>
    <t>TOP 5 INVESTMENTS BY ROI</t>
  </si>
  <si>
    <t>Risk</t>
  </si>
  <si>
    <t>MANAGEMENT RECOMMENDATIONS</t>
  </si>
  <si>
    <t>• Prioritize investments that exceed target ROI, have positive NPV and acceptable risk.</t>
  </si>
  <si>
    <t>• Review significant budget overruns because excess capital directly reduces ROI and may weaken NPV.</t>
  </si>
  <si>
    <t>• Use risk-return positioning before reallocating capital; high ROI with high risk requires tighter governance.</t>
  </si>
  <si>
    <t>• Restructure or exit investments with negative NPV, material underperformance and weak strategic fit.</t>
  </si>
  <si>
    <t>• Run quarterly post-investment reviews comparing approved assumptions with actual revenue, savings and cash flows.</t>
  </si>
  <si>
    <t>MANAGEMENT DECISION FRAMEWORK</t>
  </si>
  <si>
    <t>1. Investment Opportunity → 2. Capital Required → 3. Expected Cash Flows</t>
  </si>
  <si>
    <t>4. ROI → 5. NPV → 6. IRR → 7. Payback</t>
  </si>
  <si>
    <t>8. Risk → 9. Strategic Fit → 10. INVEST / REVIEW / REJECT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</si>
</sst>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"/>
    <numFmt numFmtId="165" formatCode="\₹#,##0"/>
    <numFmt numFmtId="166" formatCode="0.0%"/>
    <numFmt numFmtId="167" formatCode="0.0"/>
  </numFmts>
  <fonts count="13" x14ac:knownFonts="1">
    <font>
      <sz val="11"/>
      <color theme="1"/>
      <name val="Calibri"/>
      <family val="2"/>
      <charset val="1"/>
    </font>
    <font>
      <b/>
      <sz val="18"/>
      <color rgb="FFFFFFFF"/>
      <name val="Cambria"/>
      <charset val="1"/>
    </font>
    <font>
      <i/>
      <sz val="10"/>
      <color rgb="FF666666"/>
      <name val="Cambria"/>
      <charset val="1"/>
    </font>
    <font>
      <b/>
      <sz val="11"/>
      <color rgb="FFFFFFFF"/>
      <name val="Cambria"/>
      <charset val="1"/>
    </font>
    <font>
      <b/>
      <sz val="14"/>
      <color rgb="FFFFFFFF"/>
      <name val="Cambria"/>
      <charset val="1"/>
    </font>
    <font>
      <b/>
      <sz val="22"/>
      <color rgb="FFFFFFFF"/>
      <name val="Cambria"/>
      <charset val="1"/>
    </font>
    <font>
      <i/>
      <sz val="11"/>
      <color rgb="FF666666"/>
      <name val="Cambria"/>
      <charset val="1"/>
    </font>
    <font>
      <b/>
      <sz val="10"/>
      <color rgb="FFFFFFFF"/>
      <name val="Cambria"/>
      <charset val="1"/>
    </font>
    <font>
      <b/>
      <sz val="16"/>
      <color rgb="FF17365D"/>
      <name val="Cambria"/>
      <charset val="1"/>
    </font>
    <font>
      <b/>
      <sz val="11"/>
      <color rgb="FF666666"/>
      <name val="Cambria"/>
      <charset val="1"/>
    </font>
    <font>
      <b/>
      <sz val="11"/>
      <color rgb="FF17365D"/>
      <name val="Cambria"/>
      <charset val="1"/>
    </font>
    <font>
      <sz val="8"/>
      <color rgb="FF666666"/>
      <name val="Cambria"/>
      <charset val="1"/>
    </font>
    <font>
      <sz val="7"/>
      <color rgb="FF666666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2F75B5"/>
        <bgColor rgb="FF4A7EBB"/>
      </patternFill>
    </fill>
    <fill>
      <patternFill patternType="solid">
        <fgColor rgb="FFD9EAF7"/>
        <bgColor rgb="FFD9E1F2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2" fillId="0" borderId="0" xfId="0" applyFont="1" applyBorder="1" applyAlignment="1">
      <alignment vertical="center" wrapText="1"/>
    </xf>
    <xf numFmtId="0" fontId="12" fillId="2" borderId="0" xfId="0" applyFont="1" applyFill="1" applyBorder="1" applyAlignment="1"/>
    <xf numFmtId="0" fontId="0" fillId="0" borderId="0" xfId="0" applyFont="1" applyBorder="1" applyAlignment="1">
      <alignment vertical="center" wrapText="1"/>
    </xf>
    <xf numFmtId="0" fontId="4" fillId="2" borderId="0" xfId="0" applyFont="1" applyFill="1" applyBorder="1" applyAlignment="1"/>
    <xf numFmtId="0" fontId="3" fillId="2" borderId="0" xfId="0" applyFont="1" applyFill="1" applyBorder="1" applyAlignment="1">
      <alignment horizontal="left"/>
    </xf>
    <xf numFmtId="1" fontId="8" fillId="4" borderId="0" xfId="0" applyNumberFormat="1" applyFont="1" applyFill="1" applyBorder="1" applyAlignment="1">
      <alignment horizontal="center" vertical="center"/>
    </xf>
    <xf numFmtId="166" fontId="8" fillId="4" borderId="0" xfId="0" applyNumberFormat="1" applyFont="1" applyFill="1" applyBorder="1" applyAlignment="1">
      <alignment horizontal="center" vertical="center"/>
    </xf>
    <xf numFmtId="165" fontId="8" fillId="4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wrapText="1"/>
    </xf>
    <xf numFmtId="0" fontId="2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 vertical="center"/>
    </xf>
    <xf numFmtId="0" fontId="0" fillId="0" borderId="0" xfId="0" applyAlignme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/>
    <xf numFmtId="164" fontId="0" fillId="0" borderId="1" xfId="0" applyNumberFormat="1" applyBorder="1" applyAlignment="1"/>
    <xf numFmtId="165" fontId="0" fillId="0" borderId="1" xfId="0" applyNumberFormat="1" applyBorder="1" applyAlignment="1"/>
    <xf numFmtId="166" fontId="0" fillId="0" borderId="1" xfId="0" applyNumberFormat="1" applyBorder="1" applyAlignment="1"/>
    <xf numFmtId="2" fontId="0" fillId="0" borderId="1" xfId="0" applyNumberFormat="1" applyBorder="1" applyAlignment="1"/>
    <xf numFmtId="167" fontId="0" fillId="0" borderId="1" xfId="0" applyNumberFormat="1" applyBorder="1" applyAlignment="1"/>
    <xf numFmtId="0" fontId="4" fillId="2" borderId="0" xfId="0" applyFont="1" applyFill="1" applyAlignment="1"/>
    <xf numFmtId="0" fontId="3" fillId="2" borderId="0" xfId="0" applyFont="1" applyFill="1" applyAlignment="1"/>
    <xf numFmtId="0" fontId="0" fillId="0" borderId="1" xfId="0" applyFont="1" applyBorder="1" applyAlignment="1">
      <alignment wrapText="1"/>
    </xf>
    <xf numFmtId="1" fontId="0" fillId="0" borderId="1" xfId="0" applyNumberFormat="1" applyBorder="1" applyAlignment="1"/>
    <xf numFmtId="0" fontId="9" fillId="0" borderId="0" xfId="0" applyFont="1" applyAlignment="1"/>
    <xf numFmtId="0" fontId="10" fillId="4" borderId="0" xfId="0" applyFont="1" applyFill="1" applyAlignment="1">
      <alignment horizontal="center"/>
    </xf>
    <xf numFmtId="0" fontId="11" fillId="3" borderId="0" xfId="0" applyFont="1" applyFill="1" applyAlignment="1"/>
    <xf numFmtId="0" fontId="11" fillId="0" borderId="0" xfId="0" applyFont="1" applyAlignment="1"/>
    <xf numFmtId="165" fontId="11" fillId="0" borderId="0" xfId="0" applyNumberFormat="1" applyFont="1" applyAlignment="1"/>
    <xf numFmtId="166" fontId="11" fillId="0" borderId="0" xfId="0" applyNumberFormat="1" applyFont="1" applyAlignment="1"/>
    <xf numFmtId="167" fontId="11" fillId="0" borderId="0" xfId="0" applyNumberFormat="1" applyFont="1" applyAlignment="1"/>
    <xf numFmtId="0" fontId="3" fillId="3" borderId="0" xfId="0" applyFont="1" applyFill="1" applyAlignment="1"/>
    <xf numFmtId="166" fontId="0" fillId="0" borderId="0" xfId="0" applyNumberFormat="1" applyAlignment="1"/>
    <xf numFmtId="166" fontId="3" fillId="3" borderId="0" xfId="0" applyNumberFormat="1" applyFont="1" applyFill="1" applyAlignment="1"/>
    <xf numFmtId="0" fontId="12" fillId="3" borderId="0" xfId="0" applyFont="1" applyFill="1" applyAlignment="1"/>
    <xf numFmtId="0" fontId="12" fillId="0" borderId="0" xfId="0" applyFont="1" applyAlignment="1"/>
    <xf numFmtId="166" fontId="12" fillId="0" borderId="0" xfId="0" applyNumberFormat="1" applyFont="1" applyAlignment="1"/>
    <xf numFmtId="165" fontId="12" fillId="0" borderId="0" xfId="0" applyNumberFormat="1" applyFont="1" applyAlignment="1"/>
    <xf numFmtId="165" fontId="12" fillId="3" borderId="0" xfId="0" applyNumberFormat="1" applyFont="1" applyFill="1" applyAlignment="1"/>
    <xf numFmtId="2" fontId="1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666666"/>
      <rgbColor rgb="FF4F81BD"/>
      <rgbColor rgb="FF17365D"/>
      <rgbColor rgb="FF4A7EBB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ROI by Investment Category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Dashboard!$C$10</c:f>
              <c:strCache>
                <c:ptCount val="1"/>
                <c:pt idx="0">
                  <c:v>All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Dashboard!$A$11:$A$18</c:f>
              <c:strCache>
                <c:ptCount val="8"/>
                <c:pt idx="0">
                  <c:v>Technology</c:v>
                </c:pt>
                <c:pt idx="1">
                  <c:v>Marketing</c:v>
                </c:pt>
                <c:pt idx="2">
                  <c:v>Product Development</c:v>
                </c:pt>
                <c:pt idx="3">
                  <c:v>Expansion</c:v>
                </c:pt>
                <c:pt idx="4">
                  <c:v>Equipment</c:v>
                </c:pt>
                <c:pt idx="5">
                  <c:v>Automation</c:v>
                </c:pt>
                <c:pt idx="6">
                  <c:v>Training</c:v>
                </c:pt>
                <c:pt idx="7">
                  <c:v>Infrastructure</c:v>
                </c:pt>
              </c:strCache>
            </c:strRef>
          </c:cat>
          <c:val>
            <c:numRef>
              <c:f>Dashboard!$C$11:$C$18</c:f>
              <c:numCache>
                <c:formatCode>0.0%</c:formatCode>
                <c:ptCount val="8"/>
                <c:pt idx="0">
                  <c:v>0.21142614031344883</c:v>
                </c:pt>
                <c:pt idx="1">
                  <c:v>0.17879474147685634</c:v>
                </c:pt>
                <c:pt idx="2">
                  <c:v>6.9627858832269005E-2</c:v>
                </c:pt>
                <c:pt idx="3">
                  <c:v>0.11372768897155552</c:v>
                </c:pt>
                <c:pt idx="4">
                  <c:v>0.15081830925051731</c:v>
                </c:pt>
                <c:pt idx="5">
                  <c:v>0.22352301381103648</c:v>
                </c:pt>
                <c:pt idx="6">
                  <c:v>-1.169621950326037E-2</c:v>
                </c:pt>
                <c:pt idx="7">
                  <c:v>9.3805887595078088E-2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C-41FC-9490-39540C3B3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427500"/>
        <c:axId val="58827669"/>
      </c:barChart>
      <c:catAx>
        <c:axId val="714275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ROI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8827669"/>
        <c:crosses val="autoZero"/>
        <c:auto val="1"/>
        <c:lblAlgn val="ctr"/>
        <c:lblOffset val="100"/>
        <c:noMultiLvlLbl val="0"/>
      </c:catAx>
      <c:valAx>
        <c:axId val="588276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Category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427500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Department-wise Capital Allocation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Dashboard!$F$10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Dashboard!$E$11:$E$18</c:f>
              <c:strCache>
                <c:ptCount val="8"/>
                <c:pt idx="0">
                  <c:v>Sales</c:v>
                </c:pt>
                <c:pt idx="1">
                  <c:v>Marketing</c:v>
                </c:pt>
                <c:pt idx="2">
                  <c:v>Operations</c:v>
                </c:pt>
                <c:pt idx="3">
                  <c:v>IT</c:v>
                </c:pt>
                <c:pt idx="4">
                  <c:v>HR</c:v>
                </c:pt>
                <c:pt idx="5">
                  <c:v>Finance</c:v>
                </c:pt>
                <c:pt idx="6">
                  <c:v>Product</c:v>
                </c:pt>
                <c:pt idx="7">
                  <c:v>Supply Chain</c:v>
                </c:pt>
              </c:strCache>
            </c:strRef>
          </c:cat>
          <c:val>
            <c:numRef>
              <c:f>Dashboard!$F$11:$F$18</c:f>
              <c:numCache>
                <c:formatCode>\₹#,##0</c:formatCode>
                <c:ptCount val="8"/>
                <c:pt idx="0">
                  <c:v>504680000</c:v>
                </c:pt>
                <c:pt idx="1">
                  <c:v>692480000</c:v>
                </c:pt>
                <c:pt idx="2">
                  <c:v>535570000</c:v>
                </c:pt>
                <c:pt idx="3">
                  <c:v>427770000</c:v>
                </c:pt>
                <c:pt idx="4">
                  <c:v>446040000</c:v>
                </c:pt>
                <c:pt idx="5">
                  <c:v>781850000</c:v>
                </c:pt>
                <c:pt idx="6">
                  <c:v>133110000</c:v>
                </c:pt>
                <c:pt idx="7">
                  <c:v>265060000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7-4C6D-AA04-A325DEE8F7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750596"/>
        <c:axId val="58098030"/>
      </c:barChart>
      <c:catAx>
        <c:axId val="3375059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Department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8098030"/>
        <c:crosses val="autoZero"/>
        <c:auto val="1"/>
        <c:lblAlgn val="ctr"/>
        <c:lblOffset val="100"/>
        <c:noMultiLvlLbl val="0"/>
      </c:catAx>
      <c:valAx>
        <c:axId val="580980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Investment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375059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Risk vs Return Matrix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Dashboard!$M$22:$M$171</c:f>
              <c:strCache>
                <c:ptCount val="150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1">
                  <c:v>1</c:v>
                </c:pt>
                <c:pt idx="22">
                  <c:v>3</c:v>
                </c:pt>
                <c:pt idx="23">
                  <c:v>2</c:v>
                </c:pt>
                <c:pt idx="24">
                  <c:v>1</c:v>
                </c:pt>
                <c:pt idx="25">
                  <c:v>Score</c:v>
                </c:pt>
                <c:pt idx="26">
                  <c:v>76.7</c:v>
                </c:pt>
                <c:pt idx="27">
                  <c:v>71.5</c:v>
                </c:pt>
                <c:pt idx="28">
                  <c:v>68.3</c:v>
                </c:pt>
                <c:pt idx="29">
                  <c:v>71.4</c:v>
                </c:pt>
                <c:pt idx="30">
                  <c:v>64.0</c:v>
                </c:pt>
                <c:pt idx="31">
                  <c:v>3</c:v>
                </c:pt>
                <c:pt idx="32">
                  <c:v>2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3</c:v>
                </c:pt>
                <c:pt idx="38">
                  <c:v>2</c:v>
                </c:pt>
                <c:pt idx="45">
                  <c:v>1</c:v>
                </c:pt>
                <c:pt idx="46">
                  <c:v>3</c:v>
                </c:pt>
                <c:pt idx="47">
                  <c:v>2</c:v>
                </c:pt>
                <c:pt idx="48">
                  <c:v>1</c:v>
                </c:pt>
                <c:pt idx="49">
                  <c:v>3</c:v>
                </c:pt>
                <c:pt idx="50">
                  <c:v>2</c:v>
                </c:pt>
                <c:pt idx="51">
                  <c:v>1</c:v>
                </c:pt>
                <c:pt idx="52">
                  <c:v>3</c:v>
                </c:pt>
                <c:pt idx="53">
                  <c:v>2</c:v>
                </c:pt>
                <c:pt idx="54">
                  <c:v>1</c:v>
                </c:pt>
                <c:pt idx="55">
                  <c:v>3</c:v>
                </c:pt>
                <c:pt idx="56">
                  <c:v>2</c:v>
                </c:pt>
                <c:pt idx="57">
                  <c:v>1</c:v>
                </c:pt>
                <c:pt idx="58">
                  <c:v>3</c:v>
                </c:pt>
                <c:pt idx="59">
                  <c:v>2</c:v>
                </c:pt>
                <c:pt idx="60">
                  <c:v>1</c:v>
                </c:pt>
                <c:pt idx="61">
                  <c:v>3</c:v>
                </c:pt>
                <c:pt idx="62">
                  <c:v>2</c:v>
                </c:pt>
                <c:pt idx="63">
                  <c:v>1</c:v>
                </c:pt>
                <c:pt idx="64">
                  <c:v>3</c:v>
                </c:pt>
                <c:pt idx="65">
                  <c:v>2</c:v>
                </c:pt>
                <c:pt idx="66">
                  <c:v>1</c:v>
                </c:pt>
                <c:pt idx="67">
                  <c:v>3</c:v>
                </c:pt>
                <c:pt idx="68">
                  <c:v>2</c:v>
                </c:pt>
                <c:pt idx="69">
                  <c:v>1</c:v>
                </c:pt>
                <c:pt idx="70">
                  <c:v>3</c:v>
                </c:pt>
                <c:pt idx="71">
                  <c:v>2</c:v>
                </c:pt>
                <c:pt idx="72">
                  <c:v>1</c:v>
                </c:pt>
                <c:pt idx="73">
                  <c:v>3</c:v>
                </c:pt>
                <c:pt idx="74">
                  <c:v>2</c:v>
                </c:pt>
                <c:pt idx="75">
                  <c:v>1</c:v>
                </c:pt>
                <c:pt idx="76">
                  <c:v>3</c:v>
                </c:pt>
                <c:pt idx="77">
                  <c:v>2</c:v>
                </c:pt>
                <c:pt idx="78">
                  <c:v>1</c:v>
                </c:pt>
                <c:pt idx="79">
                  <c:v>3</c:v>
                </c:pt>
                <c:pt idx="80">
                  <c:v>2</c:v>
                </c:pt>
                <c:pt idx="81">
                  <c:v>1</c:v>
                </c:pt>
                <c:pt idx="86">
                  <c:v>2</c:v>
                </c:pt>
                <c:pt idx="87">
                  <c:v>1</c:v>
                </c:pt>
                <c:pt idx="88">
                  <c:v>3</c:v>
                </c:pt>
                <c:pt idx="89">
                  <c:v>2</c:v>
                </c:pt>
                <c:pt idx="90">
                  <c:v>1</c:v>
                </c:pt>
                <c:pt idx="91">
                  <c:v>3</c:v>
                </c:pt>
                <c:pt idx="92">
                  <c:v>2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3</c:v>
                </c:pt>
                <c:pt idx="98">
                  <c:v>2</c:v>
                </c:pt>
                <c:pt idx="99">
                  <c:v>1</c:v>
                </c:pt>
                <c:pt idx="100">
                  <c:v>3</c:v>
                </c:pt>
                <c:pt idx="101">
                  <c:v>2</c:v>
                </c:pt>
                <c:pt idx="102">
                  <c:v>1</c:v>
                </c:pt>
                <c:pt idx="103">
                  <c:v>3</c:v>
                </c:pt>
                <c:pt idx="104">
                  <c:v>2</c:v>
                </c:pt>
                <c:pt idx="105">
                  <c:v>1</c:v>
                </c:pt>
                <c:pt idx="106">
                  <c:v>3</c:v>
                </c:pt>
                <c:pt idx="107">
                  <c:v>2</c:v>
                </c:pt>
                <c:pt idx="108">
                  <c:v>1</c:v>
                </c:pt>
                <c:pt idx="109">
                  <c:v>3</c:v>
                </c:pt>
                <c:pt idx="110">
                  <c:v>2</c:v>
                </c:pt>
                <c:pt idx="111">
                  <c:v>1</c:v>
                </c:pt>
                <c:pt idx="112">
                  <c:v>3</c:v>
                </c:pt>
                <c:pt idx="113">
                  <c:v>2</c:v>
                </c:pt>
                <c:pt idx="114">
                  <c:v>1</c:v>
                </c:pt>
                <c:pt idx="115">
                  <c:v>3</c:v>
                </c:pt>
                <c:pt idx="116">
                  <c:v>2</c:v>
                </c:pt>
                <c:pt idx="117">
                  <c:v>1</c:v>
                </c:pt>
                <c:pt idx="118">
                  <c:v>3</c:v>
                </c:pt>
                <c:pt idx="119">
                  <c:v>2</c:v>
                </c:pt>
                <c:pt idx="120">
                  <c:v>1</c:v>
                </c:pt>
                <c:pt idx="121">
                  <c:v>3</c:v>
                </c:pt>
                <c:pt idx="122">
                  <c:v>2</c:v>
                </c:pt>
                <c:pt idx="123">
                  <c:v>1</c:v>
                </c:pt>
                <c:pt idx="124">
                  <c:v>3</c:v>
                </c:pt>
                <c:pt idx="125">
                  <c:v>2</c:v>
                </c:pt>
                <c:pt idx="126">
                  <c:v>1</c:v>
                </c:pt>
                <c:pt idx="127">
                  <c:v>3</c:v>
                </c:pt>
                <c:pt idx="128">
                  <c:v>2</c:v>
                </c:pt>
                <c:pt idx="129">
                  <c:v>1</c:v>
                </c:pt>
                <c:pt idx="130">
                  <c:v>3</c:v>
                </c:pt>
                <c:pt idx="131">
                  <c:v>2</c:v>
                </c:pt>
                <c:pt idx="132">
                  <c:v>1</c:v>
                </c:pt>
                <c:pt idx="133">
                  <c:v>3</c:v>
                </c:pt>
                <c:pt idx="134">
                  <c:v>2</c:v>
                </c:pt>
                <c:pt idx="135">
                  <c:v>1</c:v>
                </c:pt>
                <c:pt idx="136">
                  <c:v>3</c:v>
                </c:pt>
                <c:pt idx="137">
                  <c:v>2</c:v>
                </c:pt>
                <c:pt idx="138">
                  <c:v>1</c:v>
                </c:pt>
                <c:pt idx="139">
                  <c:v>3</c:v>
                </c:pt>
                <c:pt idx="140">
                  <c:v>2</c:v>
                </c:pt>
                <c:pt idx="141">
                  <c:v>1</c:v>
                </c:pt>
                <c:pt idx="142">
                  <c:v>3</c:v>
                </c:pt>
                <c:pt idx="143">
                  <c:v>2</c:v>
                </c:pt>
                <c:pt idx="144">
                  <c:v>1</c:v>
                </c:pt>
                <c:pt idx="145">
                  <c:v>3</c:v>
                </c:pt>
                <c:pt idx="146">
                  <c:v>2</c:v>
                </c:pt>
                <c:pt idx="147">
                  <c:v>1</c:v>
                </c:pt>
                <c:pt idx="148">
                  <c:v>3</c:v>
                </c:pt>
                <c:pt idx="149">
                  <c:v>2</c:v>
                </c:pt>
              </c:strCache>
            </c:strRef>
          </c:xVal>
          <c:yVal>
            <c:numRef>
              <c:f>Dashboard!$N$22:$N$171</c:f>
              <c:numCache>
                <c:formatCode>0.0%</c:formatCode>
                <c:ptCount val="150"/>
                <c:pt idx="0">
                  <c:v>0.26630301447107113</c:v>
                </c:pt>
                <c:pt idx="1">
                  <c:v>0.17740180510776535</c:v>
                </c:pt>
                <c:pt idx="2">
                  <c:v>0.1980882142976895</c:v>
                </c:pt>
                <c:pt idx="3">
                  <c:v>0.20683139231252451</c:v>
                </c:pt>
                <c:pt idx="4">
                  <c:v>0.17518158170548837</c:v>
                </c:pt>
                <c:pt idx="5">
                  <c:v>0.24912920747129533</c:v>
                </c:pt>
                <c:pt idx="6">
                  <c:v>2.8790874699689589E-3</c:v>
                </c:pt>
                <c:pt idx="7">
                  <c:v>0.11455006871241527</c:v>
                </c:pt>
                <c:pt idx="8">
                  <c:v>0.30053204630780894</c:v>
                </c:pt>
                <c:pt idx="9">
                  <c:v>0.23539867195576236</c:v>
                </c:pt>
                <c:pt idx="10">
                  <c:v>6.2876581688889252E-2</c:v>
                </c:pt>
                <c:pt idx="11">
                  <c:v>0.17726458391662378</c:v>
                </c:pt>
                <c:pt idx="12">
                  <c:v>0.10400934300911467</c:v>
                </c:pt>
                <c:pt idx="13">
                  <c:v>0.29833699302144528</c:v>
                </c:pt>
                <c:pt idx="14">
                  <c:v>6.2889577719814668E-2</c:v>
                </c:pt>
                <c:pt idx="15">
                  <c:v>0.16871676757097651</c:v>
                </c:pt>
                <c:pt idx="16">
                  <c:v>0.23018514605189799</c:v>
                </c:pt>
                <c:pt idx="17">
                  <c:v>0.15564271794378687</c:v>
                </c:pt>
                <c:pt idx="18">
                  <c:v>5.400960209080221E-2</c:v>
                </c:pt>
                <c:pt idx="19">
                  <c:v>4.786642928408983E-2</c:v>
                </c:pt>
                <c:pt idx="20">
                  <c:v>0.14394119504249703</c:v>
                </c:pt>
                <c:pt idx="21">
                  <c:v>0.22225073275770346</c:v>
                </c:pt>
                <c:pt idx="22">
                  <c:v>-0.14335482749914427</c:v>
                </c:pt>
                <c:pt idx="23">
                  <c:v>7.1530586598819057E-2</c:v>
                </c:pt>
                <c:pt idx="24">
                  <c:v>0.24548649412904022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-5.0894322740367287E-3</c:v>
                </c:pt>
                <c:pt idx="32">
                  <c:v>0.32455102756953197</c:v>
                </c:pt>
                <c:pt idx="33">
                  <c:v>0.18814070772756702</c:v>
                </c:pt>
                <c:pt idx="34">
                  <c:v>3.6960184494177255E-2</c:v>
                </c:pt>
                <c:pt idx="35">
                  <c:v>0.16234013903712938</c:v>
                </c:pt>
                <c:pt idx="36">
                  <c:v>0.15425585421859722</c:v>
                </c:pt>
                <c:pt idx="37">
                  <c:v>6.7474471394015412E-2</c:v>
                </c:pt>
                <c:pt idx="38">
                  <c:v>-5.1420046586137677E-2</c:v>
                </c:pt>
                <c:pt idx="45">
                  <c:v>0.33259576132521496</c:v>
                </c:pt>
                <c:pt idx="46">
                  <c:v>2.7599303969155107E-3</c:v>
                </c:pt>
                <c:pt idx="47">
                  <c:v>0.12894852582579402</c:v>
                </c:pt>
                <c:pt idx="48">
                  <c:v>0.22512277121603688</c:v>
                </c:pt>
                <c:pt idx="49">
                  <c:v>5.1337095977568983E-2</c:v>
                </c:pt>
                <c:pt idx="50">
                  <c:v>0.14109803563256848</c:v>
                </c:pt>
                <c:pt idx="51">
                  <c:v>0.19338337877604347</c:v>
                </c:pt>
                <c:pt idx="52">
                  <c:v>0.20079185658831022</c:v>
                </c:pt>
                <c:pt idx="53">
                  <c:v>0.23473056949137708</c:v>
                </c:pt>
                <c:pt idx="54">
                  <c:v>-1.6474706646282967E-2</c:v>
                </c:pt>
                <c:pt idx="55">
                  <c:v>-3.0828735407646512E-3</c:v>
                </c:pt>
                <c:pt idx="56">
                  <c:v>0.18102690391511994</c:v>
                </c:pt>
                <c:pt idx="57">
                  <c:v>0.14733771611338836</c:v>
                </c:pt>
                <c:pt idx="58">
                  <c:v>-4.8657736780914319E-2</c:v>
                </c:pt>
                <c:pt idx="59">
                  <c:v>0.10394126684275518</c:v>
                </c:pt>
                <c:pt idx="60">
                  <c:v>0.19108369086068833</c:v>
                </c:pt>
                <c:pt idx="61">
                  <c:v>0.16720831196354127</c:v>
                </c:pt>
                <c:pt idx="62">
                  <c:v>-3.245991331445159E-2</c:v>
                </c:pt>
                <c:pt idx="63">
                  <c:v>0.14270327029306218</c:v>
                </c:pt>
                <c:pt idx="64">
                  <c:v>0.17079999280711514</c:v>
                </c:pt>
                <c:pt idx="65">
                  <c:v>0.19884031898922255</c:v>
                </c:pt>
                <c:pt idx="66">
                  <c:v>7.6659095027279245E-2</c:v>
                </c:pt>
                <c:pt idx="67">
                  <c:v>0.18785820554481411</c:v>
                </c:pt>
                <c:pt idx="68">
                  <c:v>0.24759923832155653</c:v>
                </c:pt>
                <c:pt idx="69">
                  <c:v>0.15781227817980278</c:v>
                </c:pt>
                <c:pt idx="70">
                  <c:v>-1.4746645843265136E-2</c:v>
                </c:pt>
                <c:pt idx="71">
                  <c:v>2.7814760574180704E-2</c:v>
                </c:pt>
                <c:pt idx="72">
                  <c:v>0.19255062237266266</c:v>
                </c:pt>
                <c:pt idx="73">
                  <c:v>1.6673719639803734E-2</c:v>
                </c:pt>
                <c:pt idx="74">
                  <c:v>6.4471125350909597E-2</c:v>
                </c:pt>
                <c:pt idx="75">
                  <c:v>7.7364550187084394E-2</c:v>
                </c:pt>
                <c:pt idx="76">
                  <c:v>1.0752813548355654E-2</c:v>
                </c:pt>
                <c:pt idx="77">
                  <c:v>0.2304213103027663</c:v>
                </c:pt>
                <c:pt idx="78">
                  <c:v>-6.564863278350954E-3</c:v>
                </c:pt>
                <c:pt idx="79">
                  <c:v>0.10333432586281142</c:v>
                </c:pt>
                <c:pt idx="80">
                  <c:v>0.19382902451821657</c:v>
                </c:pt>
                <c:pt idx="81">
                  <c:v>0.213655533419911</c:v>
                </c:pt>
                <c:pt idx="86">
                  <c:v>-1.140020189797627E-2</c:v>
                </c:pt>
                <c:pt idx="87">
                  <c:v>0.26940507393960395</c:v>
                </c:pt>
                <c:pt idx="88">
                  <c:v>0.1639166278939809</c:v>
                </c:pt>
                <c:pt idx="89">
                  <c:v>0.26840103093294371</c:v>
                </c:pt>
                <c:pt idx="90">
                  <c:v>7.6815703817430317E-2</c:v>
                </c:pt>
                <c:pt idx="91">
                  <c:v>8.0488526764316504E-2</c:v>
                </c:pt>
                <c:pt idx="92">
                  <c:v>0.10204177181559984</c:v>
                </c:pt>
                <c:pt idx="93">
                  <c:v>0.44575724487207546</c:v>
                </c:pt>
                <c:pt idx="94">
                  <c:v>-4.5980220309967429E-2</c:v>
                </c:pt>
                <c:pt idx="95">
                  <c:v>5.4713588628050723E-2</c:v>
                </c:pt>
                <c:pt idx="96">
                  <c:v>0.28537394471503391</c:v>
                </c:pt>
                <c:pt idx="97">
                  <c:v>0.12595014089173551</c:v>
                </c:pt>
                <c:pt idx="98">
                  <c:v>5.8332881243436253E-2</c:v>
                </c:pt>
                <c:pt idx="99">
                  <c:v>-1.7373702485281091E-2</c:v>
                </c:pt>
                <c:pt idx="100">
                  <c:v>0.23570228906668914</c:v>
                </c:pt>
                <c:pt idx="101">
                  <c:v>0.31206338386321308</c:v>
                </c:pt>
                <c:pt idx="102">
                  <c:v>5.4344064025292668E-2</c:v>
                </c:pt>
                <c:pt idx="103">
                  <c:v>0.12843298488395485</c:v>
                </c:pt>
                <c:pt idx="104">
                  <c:v>0.15555690015774115</c:v>
                </c:pt>
                <c:pt idx="105">
                  <c:v>0.14088085360850838</c:v>
                </c:pt>
                <c:pt idx="106">
                  <c:v>2.3893972921018032E-2</c:v>
                </c:pt>
                <c:pt idx="107">
                  <c:v>0.12856221018510014</c:v>
                </c:pt>
                <c:pt idx="108">
                  <c:v>0.13844489330352647</c:v>
                </c:pt>
                <c:pt idx="109">
                  <c:v>0.25339000010004892</c:v>
                </c:pt>
                <c:pt idx="110">
                  <c:v>-0.1010643962629646</c:v>
                </c:pt>
                <c:pt idx="111">
                  <c:v>5.374570044300165E-2</c:v>
                </c:pt>
                <c:pt idx="112">
                  <c:v>0.2558908941704196</c:v>
                </c:pt>
                <c:pt idx="113">
                  <c:v>0.2435981657026208</c:v>
                </c:pt>
                <c:pt idx="114">
                  <c:v>0.15233984277628887</c:v>
                </c:pt>
                <c:pt idx="115">
                  <c:v>0.1283503681175473</c:v>
                </c:pt>
                <c:pt idx="116">
                  <c:v>0.20047384630128892</c:v>
                </c:pt>
                <c:pt idx="117">
                  <c:v>0.20828298451899124</c:v>
                </c:pt>
                <c:pt idx="118">
                  <c:v>-7.9991255952707452E-2</c:v>
                </c:pt>
                <c:pt idx="119">
                  <c:v>6.3249870744880823E-2</c:v>
                </c:pt>
                <c:pt idx="120">
                  <c:v>0.1458967420481688</c:v>
                </c:pt>
                <c:pt idx="121">
                  <c:v>0.2222791839566923</c:v>
                </c:pt>
                <c:pt idx="122">
                  <c:v>4.398127845598343E-2</c:v>
                </c:pt>
                <c:pt idx="123">
                  <c:v>9.3275992333853308E-2</c:v>
                </c:pt>
                <c:pt idx="124">
                  <c:v>0.19437892493862891</c:v>
                </c:pt>
                <c:pt idx="125">
                  <c:v>0.11206221261179219</c:v>
                </c:pt>
                <c:pt idx="126">
                  <c:v>-1.6771385918470865E-2</c:v>
                </c:pt>
                <c:pt idx="127">
                  <c:v>5.1172710765170909E-2</c:v>
                </c:pt>
                <c:pt idx="128">
                  <c:v>0.24307567856463774</c:v>
                </c:pt>
                <c:pt idx="129">
                  <c:v>0.2867557533914199</c:v>
                </c:pt>
                <c:pt idx="130">
                  <c:v>1.3841037399731011E-2</c:v>
                </c:pt>
                <c:pt idx="131">
                  <c:v>0.16513974069513179</c:v>
                </c:pt>
                <c:pt idx="132">
                  <c:v>0.18349638643799496</c:v>
                </c:pt>
                <c:pt idx="133">
                  <c:v>0.18048373729977177</c:v>
                </c:pt>
                <c:pt idx="134">
                  <c:v>-4.3602787697340335E-2</c:v>
                </c:pt>
                <c:pt idx="135">
                  <c:v>6.401628743897593E-2</c:v>
                </c:pt>
                <c:pt idx="136">
                  <c:v>0.29627862380912234</c:v>
                </c:pt>
                <c:pt idx="137">
                  <c:v>0.15806466059208721</c:v>
                </c:pt>
                <c:pt idx="138">
                  <c:v>6.8214394237036596E-2</c:v>
                </c:pt>
                <c:pt idx="139">
                  <c:v>4.3882130248093044E-2</c:v>
                </c:pt>
                <c:pt idx="140">
                  <c:v>4.3831115375555715E-2</c:v>
                </c:pt>
                <c:pt idx="141">
                  <c:v>0.14063473962505846</c:v>
                </c:pt>
                <c:pt idx="142">
                  <c:v>8.974614720505392E-3</c:v>
                </c:pt>
                <c:pt idx="143">
                  <c:v>4.074152496521888E-3</c:v>
                </c:pt>
                <c:pt idx="144">
                  <c:v>0.16502203160791939</c:v>
                </c:pt>
                <c:pt idx="145">
                  <c:v>0.12373786579943076</c:v>
                </c:pt>
                <c:pt idx="146">
                  <c:v>1.2848234911383842E-2</c:v>
                </c:pt>
                <c:pt idx="147">
                  <c:v>0.17813972329163857</c:v>
                </c:pt>
                <c:pt idx="148">
                  <c:v>0.15537627275190613</c:v>
                </c:pt>
                <c:pt idx="149">
                  <c:v>0.19106333980505472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E9-4300-9D33-BB713B30D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98965"/>
        <c:axId val="1333798"/>
      </c:scatterChart>
      <c:valAx>
        <c:axId val="71798965"/>
        <c:scaling>
          <c:orientation val="minMax"/>
          <c:max val="3.5"/>
          <c:min val="0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Risk Score (1=Low, 3=High)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333798"/>
        <c:crosses val="autoZero"/>
        <c:crossBetween val="midCat"/>
        <c:majorUnit val="1"/>
      </c:valAx>
      <c:valAx>
        <c:axId val="1333798"/>
        <c:scaling>
          <c:orientation val="minMax"/>
          <c:max val="0.5"/>
          <c:min val="-0.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Actual ROI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798965"/>
        <c:crosses val="autoZero"/>
        <c:crossBetween val="midCat"/>
        <c:majorUnit val="0.1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Budget vs Actual Investment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Dashboard!$I$21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Dashboard!$H$22</c:f>
              <c:strCache>
                <c:ptCount val="1"/>
                <c:pt idx="0">
                  <c:v>Capital</c:v>
                </c:pt>
              </c:strCache>
            </c:strRef>
          </c:cat>
          <c:val>
            <c:numRef>
              <c:f>Dashboard!$I$22</c:f>
              <c:numCache>
                <c:formatCode>\₹#,##0</c:formatCode>
                <c:ptCount val="1"/>
                <c:pt idx="0">
                  <c:v>3811500000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7B-4150-8864-94C8A13E2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917094"/>
        <c:axId val="85112225"/>
      </c:barChart>
      <c:catAx>
        <c:axId val="959170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5112225"/>
        <c:crosses val="autoZero"/>
        <c:auto val="1"/>
        <c:lblAlgn val="ctr"/>
        <c:lblOffset val="100"/>
        <c:noMultiLvlLbl val="0"/>
      </c:catAx>
      <c:valAx>
        <c:axId val="851122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Investment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959170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Investment Performance Trend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Dashboard!$F$21</c:f>
              <c:strCache>
                <c:ptCount val="1"/>
                <c:pt idx="0">
                  <c:v>Actual ROI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Dashboard!$E$22:$E$29</c:f>
              <c:strCache>
                <c:ptCount val="8"/>
                <c:pt idx="0">
                  <c:v>Q1 FY25</c:v>
                </c:pt>
                <c:pt idx="1">
                  <c:v>Q2 FY25</c:v>
                </c:pt>
                <c:pt idx="2">
                  <c:v>Q3 FY25</c:v>
                </c:pt>
                <c:pt idx="3">
                  <c:v>Q4 FY25</c:v>
                </c:pt>
                <c:pt idx="4">
                  <c:v>Q1 FY26</c:v>
                </c:pt>
                <c:pt idx="5">
                  <c:v>Q2 FY26</c:v>
                </c:pt>
                <c:pt idx="6">
                  <c:v>Q3 FY26</c:v>
                </c:pt>
                <c:pt idx="7">
                  <c:v>Q4 FY26</c:v>
                </c:pt>
              </c:strCache>
            </c:strRef>
          </c:cat>
          <c:val>
            <c:numRef>
              <c:f>Dashboard!$F$22:$F$29</c:f>
              <c:numCache>
                <c:formatCode>0.0%</c:formatCode>
                <c:ptCount val="8"/>
                <c:pt idx="0">
                  <c:v>0.17701204448524105</c:v>
                </c:pt>
                <c:pt idx="1">
                  <c:v>0.13013303343183613</c:v>
                </c:pt>
                <c:pt idx="2">
                  <c:v>0.1362498784413409</c:v>
                </c:pt>
                <c:pt idx="3">
                  <c:v>0.10473684296149152</c:v>
                </c:pt>
                <c:pt idx="4">
                  <c:v>0.13513267147717151</c:v>
                </c:pt>
                <c:pt idx="5">
                  <c:v>0.13030869659244151</c:v>
                </c:pt>
                <c:pt idx="6">
                  <c:v>0.12936584712822563</c:v>
                </c:pt>
                <c:pt idx="7">
                  <c:v>0.10508675497116687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BDF-4375-B838-8696BBE00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193494"/>
        <c:axId val="28224477"/>
      </c:lineChart>
      <c:catAx>
        <c:axId val="591934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Period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8224477"/>
        <c:crosses val="autoZero"/>
        <c:auto val="1"/>
        <c:lblAlgn val="ctr"/>
        <c:lblOffset val="100"/>
        <c:noMultiLvlLbl val="0"/>
      </c:catAx>
      <c:valAx>
        <c:axId val="282244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Average ROI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91934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Investment vs Return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strRef>
              <c:f>Dashboard!$A$75:$A$224</c:f>
              <c:strCache>
                <c:ptCount val="150"/>
                <c:pt idx="0">
                  <c:v>₹3,62,50,000</c:v>
                </c:pt>
                <c:pt idx="1">
                  <c:v>₹80,20,000</c:v>
                </c:pt>
                <c:pt idx="2">
                  <c:v>₹3,55,40,000</c:v>
                </c:pt>
                <c:pt idx="3">
                  <c:v>₹2,30,90,000</c:v>
                </c:pt>
                <c:pt idx="4">
                  <c:v>₹3,12,90,000</c:v>
                </c:pt>
                <c:pt idx="5">
                  <c:v>₹1,89,00,000</c:v>
                </c:pt>
                <c:pt idx="6">
                  <c:v>₹1,32,30,000</c:v>
                </c:pt>
                <c:pt idx="7">
                  <c:v>₹1,76,20,000</c:v>
                </c:pt>
                <c:pt idx="8">
                  <c:v>₹2,08,40,000</c:v>
                </c:pt>
                <c:pt idx="9">
                  <c:v>₹95,10,000</c:v>
                </c:pt>
                <c:pt idx="10">
                  <c:v>₹2,40,30,000</c:v>
                </c:pt>
                <c:pt idx="11">
                  <c:v>₹2,97,70,000</c:v>
                </c:pt>
                <c:pt idx="12">
                  <c:v>₹1,09,00,000</c:v>
                </c:pt>
                <c:pt idx="13">
                  <c:v>₹1,79,90,000</c:v>
                </c:pt>
                <c:pt idx="14">
                  <c:v>₹35,40,000</c:v>
                </c:pt>
                <c:pt idx="15">
                  <c:v>₹3,59,80,000</c:v>
                </c:pt>
                <c:pt idx="16">
                  <c:v>Investment</c:v>
                </c:pt>
                <c:pt idx="17">
                  <c:v>RPA Finance Rollout – North</c:v>
                </c:pt>
                <c:pt idx="18">
                  <c:v>RPA Finance Rollout – East</c:v>
                </c:pt>
                <c:pt idx="19">
                  <c:v>RPA Finance Rollout – Central</c:v>
                </c:pt>
                <c:pt idx="20">
                  <c:v>ERP Cloud Migration – West</c:v>
                </c:pt>
                <c:pt idx="21">
                  <c:v>RPA Finance Rollout – South</c:v>
                </c:pt>
                <c:pt idx="22">
                  <c:v>ERP Cloud Migration – North</c:v>
                </c:pt>
                <c:pt idx="23">
                  <c:v>RPA Finance Rollout – North</c:v>
                </c:pt>
                <c:pt idx="24">
                  <c:v>ERP Cloud Migration – South</c:v>
                </c:pt>
                <c:pt idx="25">
                  <c:v>Brand Repositioning – East</c:v>
                </c:pt>
                <c:pt idx="26">
                  <c:v>ERP Cloud Migration – South</c:v>
                </c:pt>
                <c:pt idx="27">
                  <c:v>₹4,89,20,000</c:v>
                </c:pt>
                <c:pt idx="28">
                  <c:v>₹2,65,40,000</c:v>
                </c:pt>
                <c:pt idx="29">
                  <c:v>₹2,52,30,000</c:v>
                </c:pt>
                <c:pt idx="30">
                  <c:v>₹1,09,30,000</c:v>
                </c:pt>
                <c:pt idx="31">
                  <c:v>₹1,98,50,000</c:v>
                </c:pt>
                <c:pt idx="32">
                  <c:v>₹1,58,10,000</c:v>
                </c:pt>
                <c:pt idx="33">
                  <c:v>₹2,05,30,000</c:v>
                </c:pt>
                <c:pt idx="34">
                  <c:v>₹1,87,30,000</c:v>
                </c:pt>
                <c:pt idx="35">
                  <c:v>₹3,42,10,000</c:v>
                </c:pt>
                <c:pt idx="36">
                  <c:v>₹1,18,70,000</c:v>
                </c:pt>
                <c:pt idx="37">
                  <c:v>₹3,18,70,000</c:v>
                </c:pt>
                <c:pt idx="38">
                  <c:v>₹1,17,00,000</c:v>
                </c:pt>
                <c:pt idx="39">
                  <c:v>₹4,29,30,000</c:v>
                </c:pt>
                <c:pt idx="40">
                  <c:v>₹3,79,20,000</c:v>
                </c:pt>
                <c:pt idx="41">
                  <c:v>₹75,50,000</c:v>
                </c:pt>
                <c:pt idx="42">
                  <c:v>₹3,02,80,000</c:v>
                </c:pt>
                <c:pt idx="43">
                  <c:v>₹2,91,00,000</c:v>
                </c:pt>
                <c:pt idx="44">
                  <c:v>₹3,38,50,000</c:v>
                </c:pt>
                <c:pt idx="45">
                  <c:v>₹1,37,20,000</c:v>
                </c:pt>
                <c:pt idx="46">
                  <c:v>₹25,90,000</c:v>
                </c:pt>
                <c:pt idx="47">
                  <c:v>₹1,84,50,000</c:v>
                </c:pt>
                <c:pt idx="48">
                  <c:v>₹1,64,70,000</c:v>
                </c:pt>
                <c:pt idx="49">
                  <c:v>₹1,21,20,000</c:v>
                </c:pt>
                <c:pt idx="50">
                  <c:v>₹2,35,60,000</c:v>
                </c:pt>
                <c:pt idx="51">
                  <c:v>₹4,72,40,000</c:v>
                </c:pt>
                <c:pt idx="52">
                  <c:v>₹3,00,60,000</c:v>
                </c:pt>
                <c:pt idx="53">
                  <c:v>₹3,15,70,000</c:v>
                </c:pt>
                <c:pt idx="54">
                  <c:v>₹78,80,000</c:v>
                </c:pt>
                <c:pt idx="55">
                  <c:v>₹5,93,40,000</c:v>
                </c:pt>
                <c:pt idx="56">
                  <c:v>₹1,39,50,000</c:v>
                </c:pt>
                <c:pt idx="57">
                  <c:v>₹59,30,000</c:v>
                </c:pt>
                <c:pt idx="58">
                  <c:v>₹2,40,80,000</c:v>
                </c:pt>
                <c:pt idx="59">
                  <c:v>₹4,14,50,000</c:v>
                </c:pt>
                <c:pt idx="60">
                  <c:v>₹4,37,90,000</c:v>
                </c:pt>
                <c:pt idx="61">
                  <c:v>₹1,34,70,000</c:v>
                </c:pt>
                <c:pt idx="62">
                  <c:v>₹79,50,000</c:v>
                </c:pt>
                <c:pt idx="63">
                  <c:v>₹3,91,60,000</c:v>
                </c:pt>
                <c:pt idx="64">
                  <c:v>₹3,53,00,000</c:v>
                </c:pt>
                <c:pt idx="65">
                  <c:v>₹1,45,60,000</c:v>
                </c:pt>
                <c:pt idx="66">
                  <c:v>₹4,47,30,000</c:v>
                </c:pt>
                <c:pt idx="67">
                  <c:v>₹4,05,00,000</c:v>
                </c:pt>
                <c:pt idx="68">
                  <c:v>₹2,32,70,000</c:v>
                </c:pt>
                <c:pt idx="69">
                  <c:v>₹3,00,70,000</c:v>
                </c:pt>
                <c:pt idx="70">
                  <c:v>₹92,80,000</c:v>
                </c:pt>
                <c:pt idx="71">
                  <c:v>₹1,86,50,000</c:v>
                </c:pt>
                <c:pt idx="72">
                  <c:v>₹2,63,90,000</c:v>
                </c:pt>
                <c:pt idx="73">
                  <c:v>₹1,61,70,000</c:v>
                </c:pt>
                <c:pt idx="74">
                  <c:v>₹4,02,10,000</c:v>
                </c:pt>
                <c:pt idx="75">
                  <c:v>₹4,42,20,000</c:v>
                </c:pt>
                <c:pt idx="76">
                  <c:v>₹4,14,20,000</c:v>
                </c:pt>
                <c:pt idx="77">
                  <c:v>₹2,72,10,000</c:v>
                </c:pt>
                <c:pt idx="78">
                  <c:v>₹1,17,10,000</c:v>
                </c:pt>
                <c:pt idx="79">
                  <c:v>₹5,17,90,000</c:v>
                </c:pt>
                <c:pt idx="80">
                  <c:v>₹2,08,60,000</c:v>
                </c:pt>
                <c:pt idx="81">
                  <c:v>₹1,76,20,000</c:v>
                </c:pt>
                <c:pt idx="82">
                  <c:v>₹4,19,40,000</c:v>
                </c:pt>
                <c:pt idx="83">
                  <c:v>₹3,75,00,000</c:v>
                </c:pt>
                <c:pt idx="84">
                  <c:v>₹4,11,80,000</c:v>
                </c:pt>
                <c:pt idx="85">
                  <c:v>₹2,98,00,000</c:v>
                </c:pt>
                <c:pt idx="86">
                  <c:v>₹84,50,000</c:v>
                </c:pt>
                <c:pt idx="87">
                  <c:v>₹5,33,60,000</c:v>
                </c:pt>
                <c:pt idx="88">
                  <c:v>₹2,56,20,000</c:v>
                </c:pt>
                <c:pt idx="89">
                  <c:v>₹2,11,30,000</c:v>
                </c:pt>
                <c:pt idx="90">
                  <c:v>₹1,73,40,000</c:v>
                </c:pt>
                <c:pt idx="91">
                  <c:v>₹5,73,00,000</c:v>
                </c:pt>
                <c:pt idx="92">
                  <c:v>₹2,92,60,000</c:v>
                </c:pt>
                <c:pt idx="93">
                  <c:v>₹2,00,30,000</c:v>
                </c:pt>
                <c:pt idx="94">
                  <c:v>₹38,90,000</c:v>
                </c:pt>
                <c:pt idx="95">
                  <c:v>₹3,86,70,000</c:v>
                </c:pt>
                <c:pt idx="96">
                  <c:v>₹3,40,10,000</c:v>
                </c:pt>
                <c:pt idx="97">
                  <c:v>₹1,41,40,000</c:v>
                </c:pt>
                <c:pt idx="98">
                  <c:v>₹1,52,00,000</c:v>
                </c:pt>
                <c:pt idx="99">
                  <c:v>₹2,09,10,000</c:v>
                </c:pt>
                <c:pt idx="100">
                  <c:v>₹1,47,40,000</c:v>
                </c:pt>
                <c:pt idx="101">
                  <c:v>₹78,30,000</c:v>
                </c:pt>
                <c:pt idx="102">
                  <c:v>₹30,10,000</c:v>
                </c:pt>
                <c:pt idx="103">
                  <c:v>₹4,29,30,000</c:v>
                </c:pt>
                <c:pt idx="104">
                  <c:v>₹3,46,30,000</c:v>
                </c:pt>
                <c:pt idx="105">
                  <c:v>₹87,00,000</c:v>
                </c:pt>
                <c:pt idx="106">
                  <c:v>₹2,43,80,000</c:v>
                </c:pt>
                <c:pt idx="107">
                  <c:v>₹6,34,50,000</c:v>
                </c:pt>
                <c:pt idx="108">
                  <c:v>₹3,10,90,000</c:v>
                </c:pt>
                <c:pt idx="109">
                  <c:v>₹2,89,40,000</c:v>
                </c:pt>
                <c:pt idx="110">
                  <c:v>₹58,10,000</c:v>
                </c:pt>
                <c:pt idx="111">
                  <c:v>₹5,68,70,000</c:v>
                </c:pt>
                <c:pt idx="112">
                  <c:v>₹85,80,000</c:v>
                </c:pt>
                <c:pt idx="113">
                  <c:v>₹1,08,10,000</c:v>
                </c:pt>
                <c:pt idx="114">
                  <c:v>₹3,31,60,000</c:v>
                </c:pt>
                <c:pt idx="115">
                  <c:v>₹3,83,80,000</c:v>
                </c:pt>
                <c:pt idx="116">
                  <c:v>₹2,46,50,000</c:v>
                </c:pt>
                <c:pt idx="117">
                  <c:v>₹2,41,20,000</c:v>
                </c:pt>
                <c:pt idx="118">
                  <c:v>₹62,10,000</c:v>
                </c:pt>
                <c:pt idx="119">
                  <c:v>₹3,38,40,000</c:v>
                </c:pt>
                <c:pt idx="120">
                  <c:v>₹2,84,30,000</c:v>
                </c:pt>
                <c:pt idx="121">
                  <c:v>₹1,34,20,000</c:v>
                </c:pt>
                <c:pt idx="122">
                  <c:v>₹3,99,10,000</c:v>
                </c:pt>
                <c:pt idx="123">
                  <c:v>₹5,46,80,000</c:v>
                </c:pt>
                <c:pt idx="124">
                  <c:v>₹2,02,60,000</c:v>
                </c:pt>
                <c:pt idx="125">
                  <c:v>₹2,50,20,000</c:v>
                </c:pt>
                <c:pt idx="126">
                  <c:v>₹1,02,60,000</c:v>
                </c:pt>
                <c:pt idx="127">
                  <c:v>₹4,11,60,000</c:v>
                </c:pt>
                <c:pt idx="128">
                  <c:v>₹1,22,50,000</c:v>
                </c:pt>
                <c:pt idx="129">
                  <c:v>₹1,67,20,000</c:v>
                </c:pt>
                <c:pt idx="130">
                  <c:v>₹3,29,00,000</c:v>
                </c:pt>
                <c:pt idx="131">
                  <c:v>₹2,78,50,000</c:v>
                </c:pt>
                <c:pt idx="132">
                  <c:v>₹1,82,80,000</c:v>
                </c:pt>
                <c:pt idx="133">
                  <c:v>₹1,25,30,000</c:v>
                </c:pt>
                <c:pt idx="134">
                  <c:v>₹33,00,000</c:v>
                </c:pt>
                <c:pt idx="135">
                  <c:v>₹4,05,80,000</c:v>
                </c:pt>
                <c:pt idx="136">
                  <c:v>₹1,15,00,000</c:v>
                </c:pt>
                <c:pt idx="137">
                  <c:v>₹1,55,70,000</c:v>
                </c:pt>
                <c:pt idx="138">
                  <c:v>₹1,66,40,000</c:v>
                </c:pt>
                <c:pt idx="139">
                  <c:v>₹6,51,10,000</c:v>
                </c:pt>
                <c:pt idx="140">
                  <c:v>₹1,73,30,000</c:v>
                </c:pt>
                <c:pt idx="141">
                  <c:v>₹2,20,60,000</c:v>
                </c:pt>
                <c:pt idx="142">
                  <c:v>₹1,07,00,000</c:v>
                </c:pt>
                <c:pt idx="143">
                  <c:v>₹3,68,00,000</c:v>
                </c:pt>
                <c:pt idx="144">
                  <c:v>₹99,40,000</c:v>
                </c:pt>
                <c:pt idx="145">
                  <c:v>₹2,05,40,000</c:v>
                </c:pt>
                <c:pt idx="146">
                  <c:v>₹2,50,30,000</c:v>
                </c:pt>
                <c:pt idx="147">
                  <c:v>₹2,28,00,000</c:v>
                </c:pt>
                <c:pt idx="148">
                  <c:v>₹3,66,90,000</c:v>
                </c:pt>
                <c:pt idx="149">
                  <c:v>₹1,77,60,000</c:v>
                </c:pt>
              </c:strCache>
            </c:strRef>
          </c:xVal>
          <c:yVal>
            <c:numRef>
              <c:f>Dashboard!$B$75:$B$224</c:f>
              <c:numCache>
                <c:formatCode>\₹#,##0</c:formatCode>
                <c:ptCount val="150"/>
                <c:pt idx="0">
                  <c:v>45903484.274576329</c:v>
                </c:pt>
                <c:pt idx="1">
                  <c:v>9442762.4769642781</c:v>
                </c:pt>
                <c:pt idx="2">
                  <c:v>42580055.136139885</c:v>
                </c:pt>
                <c:pt idx="3">
                  <c:v>27865736.848496191</c:v>
                </c:pt>
                <c:pt idx="4">
                  <c:v>36771431.691564731</c:v>
                </c:pt>
                <c:pt idx="5">
                  <c:v>23608542.021207482</c:v>
                </c:pt>
                <c:pt idx="6">
                  <c:v>13268090.327227689</c:v>
                </c:pt>
                <c:pt idx="7">
                  <c:v>19638372.210712757</c:v>
                </c:pt>
                <c:pt idx="8">
                  <c:v>27103087.845054738</c:v>
                </c:pt>
                <c:pt idx="9">
                  <c:v>11748641.3702993</c:v>
                </c:pt>
                <c:pt idx="10">
                  <c:v>25540924.257984009</c:v>
                </c:pt>
                <c:pt idx="11">
                  <c:v>35047166.66319789</c:v>
                </c:pt>
                <c:pt idx="12">
                  <c:v>12033701.83879935</c:v>
                </c:pt>
                <c:pt idx="13">
                  <c:v>23357082.504455801</c:v>
                </c:pt>
                <c:pt idx="14">
                  <c:v>3762629.1051281439</c:v>
                </c:pt>
                <c:pt idx="15">
                  <c:v>42050429.297203735</c:v>
                </c:pt>
                <c:pt idx="16">
                  <c:v>0</c:v>
                </c:pt>
                <c:pt idx="17" formatCode="0.00">
                  <c:v>3.4583952580797295</c:v>
                </c:pt>
                <c:pt idx="18" formatCode="0.00">
                  <c:v>3.6039986691846839</c:v>
                </c:pt>
                <c:pt idx="19" formatCode="0.00">
                  <c:v>3.7520755694342696</c:v>
                </c:pt>
                <c:pt idx="20" formatCode="0.00">
                  <c:v>3.7748640074476305</c:v>
                </c:pt>
                <c:pt idx="21" formatCode="0.00">
                  <c:v>3.8107915070978509</c:v>
                </c:pt>
                <c:pt idx="22" formatCode="0.00">
                  <c:v>3.8445803886147405</c:v>
                </c:pt>
                <c:pt idx="23" formatCode="0.00">
                  <c:v>3.8510802872250998</c:v>
                </c:pt>
                <c:pt idx="24" formatCode="0.00">
                  <c:v>3.8571954425256743</c:v>
                </c:pt>
                <c:pt idx="25" formatCode="0.00">
                  <c:v>3.8857413202325461</c:v>
                </c:pt>
                <c:pt idx="26" formatCode="0.00">
                  <c:v>3.8899185879393987</c:v>
                </c:pt>
                <c:pt idx="27">
                  <c:v>53190900.746296138</c:v>
                </c:pt>
                <c:pt idx="28">
                  <c:v>28293602.103984609</c:v>
                </c:pt>
                <c:pt idx="29">
                  <c:v>35002787.619935036</c:v>
                </c:pt>
                <c:pt idx="30">
                  <c:v>12106705.13945229</c:v>
                </c:pt>
                <c:pt idx="31">
                  <c:v>19748974.769360371</c:v>
                </c:pt>
                <c:pt idx="32">
                  <c:v>20941151.745874301</c:v>
                </c:pt>
                <c:pt idx="33">
                  <c:v>24392528.729646951</c:v>
                </c:pt>
                <c:pt idx="34">
                  <c:v>19422264.25557594</c:v>
                </c:pt>
                <c:pt idx="35">
                  <c:v>39763656.156460196</c:v>
                </c:pt>
                <c:pt idx="36">
                  <c:v>13701016.989574749</c:v>
                </c:pt>
                <c:pt idx="37">
                  <c:v>34020411.403327271</c:v>
                </c:pt>
                <c:pt idx="38">
                  <c:v>11098385.454942189</c:v>
                </c:pt>
                <c:pt idx="39">
                  <c:v>51007231.589346126</c:v>
                </c:pt>
                <c:pt idx="40">
                  <c:v>42579950.589387186</c:v>
                </c:pt>
                <c:pt idx="41">
                  <c:v>9186557.986253472</c:v>
                </c:pt>
                <c:pt idx="42">
                  <c:v>31890205.934885196</c:v>
                </c:pt>
                <c:pt idx="43">
                  <c:v>29871723.010598183</c:v>
                </c:pt>
                <c:pt idx="44">
                  <c:v>39398765.87988431</c:v>
                </c:pt>
                <c:pt idx="45">
                  <c:v>18283213.845381949</c:v>
                </c:pt>
                <c:pt idx="46">
                  <c:v>2597148.2197280112</c:v>
                </c:pt>
                <c:pt idx="47">
                  <c:v>20829100.3014859</c:v>
                </c:pt>
                <c:pt idx="48">
                  <c:v>20177772.041928127</c:v>
                </c:pt>
                <c:pt idx="49">
                  <c:v>12742205.603248136</c:v>
                </c:pt>
                <c:pt idx="50">
                  <c:v>26884269.719503313</c:v>
                </c:pt>
                <c:pt idx="51">
                  <c:v>56375430.813380294</c:v>
                </c:pt>
                <c:pt idx="52">
                  <c:v>36095803.209044605</c:v>
                </c:pt>
                <c:pt idx="53">
                  <c:v>38980444.078842774</c:v>
                </c:pt>
                <c:pt idx="54">
                  <c:v>7750179.3116272902</c:v>
                </c:pt>
                <c:pt idx="55">
                  <c:v>59157062.284091026</c:v>
                </c:pt>
                <c:pt idx="56">
                  <c:v>16475325.309615923</c:v>
                </c:pt>
                <c:pt idx="57">
                  <c:v>6803712.656552393</c:v>
                </c:pt>
                <c:pt idx="58">
                  <c:v>22908321.698315583</c:v>
                </c:pt>
                <c:pt idx="59">
                  <c:v>45758365.510632202</c:v>
                </c:pt>
                <c:pt idx="60">
                  <c:v>52157554.822789542</c:v>
                </c:pt>
                <c:pt idx="61">
                  <c:v>15722295.962148901</c:v>
                </c:pt>
                <c:pt idx="62">
                  <c:v>7691943.6891501099</c:v>
                </c:pt>
                <c:pt idx="63">
                  <c:v>44748260.064676315</c:v>
                </c:pt>
                <c:pt idx="64">
                  <c:v>41329239.746091165</c:v>
                </c:pt>
                <c:pt idx="65">
                  <c:v>17455115.044483081</c:v>
                </c:pt>
                <c:pt idx="66">
                  <c:v>48158961.320570201</c:v>
                </c:pt>
                <c:pt idx="67">
                  <c:v>48108257.324564971</c:v>
                </c:pt>
                <c:pt idx="68">
                  <c:v>29031634.27574262</c:v>
                </c:pt>
                <c:pt idx="69">
                  <c:v>34815415.20486667</c:v>
                </c:pt>
                <c:pt idx="70">
                  <c:v>9143151.1265744995</c:v>
                </c:pt>
                <c:pt idx="71">
                  <c:v>19168745.28470847</c:v>
                </c:pt>
                <c:pt idx="72">
                  <c:v>31471410.924414568</c:v>
                </c:pt>
                <c:pt idx="73">
                  <c:v>16439614.046575626</c:v>
                </c:pt>
                <c:pt idx="74">
                  <c:v>42802383.950360075</c:v>
                </c:pt>
                <c:pt idx="75">
                  <c:v>47641060.409272872</c:v>
                </c:pt>
                <c:pt idx="76">
                  <c:v>41865381.537172891</c:v>
                </c:pt>
                <c:pt idx="77">
                  <c:v>33479763.853338271</c:v>
                </c:pt>
                <c:pt idx="78">
                  <c:v>11633125.45101051</c:v>
                </c:pt>
                <c:pt idx="79">
                  <c:v>57141684.736435004</c:v>
                </c:pt>
                <c:pt idx="80">
                  <c:v>24903273.451449998</c:v>
                </c:pt>
                <c:pt idx="81">
                  <c:v>21384610.498858832</c:v>
                </c:pt>
                <c:pt idx="82">
                  <c:v>44007020.450719386</c:v>
                </c:pt>
                <c:pt idx="83">
                  <c:v>44695039.890150316</c:v>
                </c:pt>
                <c:pt idx="84">
                  <c:v>48856217.133899949</c:v>
                </c:pt>
                <c:pt idx="85">
                  <c:v>36296937.739267156</c:v>
                </c:pt>
                <c:pt idx="86">
                  <c:v>8353668.2939621005</c:v>
                </c:pt>
                <c:pt idx="87">
                  <c:v>67735454.745417267</c:v>
                </c:pt>
                <c:pt idx="88">
                  <c:v>29819544.006643791</c:v>
                </c:pt>
                <c:pt idx="89">
                  <c:v>26801313.783613101</c:v>
                </c:pt>
                <c:pt idx="90">
                  <c:v>18671984.304194242</c:v>
                </c:pt>
                <c:pt idx="91">
                  <c:v>61911992.583595335</c:v>
                </c:pt>
                <c:pt idx="92">
                  <c:v>32245742.243324451</c:v>
                </c:pt>
                <c:pt idx="93">
                  <c:v>28958517.614787672</c:v>
                </c:pt>
                <c:pt idx="94">
                  <c:v>3711136.9429942267</c:v>
                </c:pt>
                <c:pt idx="95">
                  <c:v>40785774.472246721</c:v>
                </c:pt>
                <c:pt idx="96">
                  <c:v>43715567.859758303</c:v>
                </c:pt>
                <c:pt idx="97">
                  <c:v>15920934.99220914</c:v>
                </c:pt>
                <c:pt idx="98">
                  <c:v>16086659.794900231</c:v>
                </c:pt>
                <c:pt idx="99">
                  <c:v>20546715.881032772</c:v>
                </c:pt>
                <c:pt idx="100">
                  <c:v>18214251.740842998</c:v>
                </c:pt>
                <c:pt idx="101">
                  <c:v>10273456.295648959</c:v>
                </c:pt>
                <c:pt idx="102">
                  <c:v>3173575.6327161309</c:v>
                </c:pt>
                <c:pt idx="103">
                  <c:v>48443628.041068181</c:v>
                </c:pt>
                <c:pt idx="104">
                  <c:v>40016935.452462576</c:v>
                </c:pt>
                <c:pt idx="105">
                  <c:v>9925663.426394023</c:v>
                </c:pt>
                <c:pt idx="106">
                  <c:v>24962535.05981442</c:v>
                </c:pt>
                <c:pt idx="107">
                  <c:v>71607272.236244604</c:v>
                </c:pt>
                <c:pt idx="108">
                  <c:v>35394251.732806638</c:v>
                </c:pt>
                <c:pt idx="109">
                  <c:v>36273106.602895416</c:v>
                </c:pt>
                <c:pt idx="110">
                  <c:v>5222815.8577121757</c:v>
                </c:pt>
                <c:pt idx="111">
                  <c:v>59926517.984193504</c:v>
                </c:pt>
                <c:pt idx="112">
                  <c:v>10775543.8719822</c:v>
                </c:pt>
                <c:pt idx="113">
                  <c:v>13443296.171245331</c:v>
                </c:pt>
                <c:pt idx="114">
                  <c:v>38211589.186461739</c:v>
                </c:pt>
                <c:pt idx="115">
                  <c:v>43306087.128351465</c:v>
                </c:pt>
                <c:pt idx="116">
                  <c:v>29591680.311326772</c:v>
                </c:pt>
                <c:pt idx="117">
                  <c:v>29143785.586598068</c:v>
                </c:pt>
                <c:pt idx="118">
                  <c:v>5713254.3005336868</c:v>
                </c:pt>
                <c:pt idx="119">
                  <c:v>35980375.626006767</c:v>
                </c:pt>
                <c:pt idx="120">
                  <c:v>32577844.376429439</c:v>
                </c:pt>
                <c:pt idx="121">
                  <c:v>16402986.64869881</c:v>
                </c:pt>
                <c:pt idx="122">
                  <c:v>41665292.823178299</c:v>
                </c:pt>
                <c:pt idx="123">
                  <c:v>59780331.260815099</c:v>
                </c:pt>
                <c:pt idx="124">
                  <c:v>24198117.019256622</c:v>
                </c:pt>
                <c:pt idx="125">
                  <c:v>27823796.559547041</c:v>
                </c:pt>
                <c:pt idx="126">
                  <c:v>10087925.580476489</c:v>
                </c:pt>
                <c:pt idx="127">
                  <c:v>43266268.775094435</c:v>
                </c:pt>
                <c:pt idx="128">
                  <c:v>15227677.062416812</c:v>
                </c:pt>
                <c:pt idx="129">
                  <c:v>21514556.19670454</c:v>
                </c:pt>
                <c:pt idx="130">
                  <c:v>33355370.13045115</c:v>
                </c:pt>
                <c:pt idx="131">
                  <c:v>32449141.778359421</c:v>
                </c:pt>
                <c:pt idx="132">
                  <c:v>21634313.944086548</c:v>
                </c:pt>
                <c:pt idx="133">
                  <c:v>14791461.22836614</c:v>
                </c:pt>
                <c:pt idx="134">
                  <c:v>3156110.8005987769</c:v>
                </c:pt>
                <c:pt idx="135">
                  <c:v>43177780.944273643</c:v>
                </c:pt>
                <c:pt idx="136">
                  <c:v>14907204.173804907</c:v>
                </c:pt>
                <c:pt idx="137">
                  <c:v>18031066.765418798</c:v>
                </c:pt>
                <c:pt idx="138">
                  <c:v>17775087.520104289</c:v>
                </c:pt>
                <c:pt idx="139">
                  <c:v>67967165.500453338</c:v>
                </c:pt>
                <c:pt idx="140">
                  <c:v>18089593.22945838</c:v>
                </c:pt>
                <c:pt idx="141">
                  <c:v>25162402.356128789</c:v>
                </c:pt>
                <c:pt idx="142">
                  <c:v>10796028.377509408</c:v>
                </c:pt>
                <c:pt idx="143">
                  <c:v>36949928.811872005</c:v>
                </c:pt>
                <c:pt idx="144">
                  <c:v>11580318.994182719</c:v>
                </c:pt>
                <c:pt idx="145">
                  <c:v>23081575.763520308</c:v>
                </c:pt>
                <c:pt idx="146">
                  <c:v>25351591.319831938</c:v>
                </c:pt>
                <c:pt idx="147">
                  <c:v>26861585.69104936</c:v>
                </c:pt>
                <c:pt idx="148">
                  <c:v>42390755.447267435</c:v>
                </c:pt>
                <c:pt idx="149">
                  <c:v>21153284.914937772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E1-4573-B3E9-0DB7D4F73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118559"/>
        <c:axId val="57056663"/>
      </c:scatterChart>
      <c:valAx>
        <c:axId val="63118559"/>
        <c:scaling>
          <c:orientation val="minMax"/>
          <c:min val="0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Total Investment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7056663"/>
        <c:crosses val="autoZero"/>
        <c:crossBetween val="midCat"/>
      </c:valAx>
      <c:valAx>
        <c:axId val="57056663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Actual Financial Return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63118559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Target ROI vs Actual ROI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Dashboard!$E$74</c:f>
              <c:strCache>
                <c:ptCount val="1"/>
                <c:pt idx="0">
                  <c:v>Target ROI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Dashboard!$D$75:$D$82</c:f>
              <c:strCache>
                <c:ptCount val="8"/>
                <c:pt idx="0">
                  <c:v>Technology</c:v>
                </c:pt>
                <c:pt idx="1">
                  <c:v>Marketing</c:v>
                </c:pt>
                <c:pt idx="2">
                  <c:v>Product Development</c:v>
                </c:pt>
                <c:pt idx="3">
                  <c:v>Expansion</c:v>
                </c:pt>
                <c:pt idx="4">
                  <c:v>Equipment</c:v>
                </c:pt>
                <c:pt idx="5">
                  <c:v>Automation</c:v>
                </c:pt>
                <c:pt idx="6">
                  <c:v>Training</c:v>
                </c:pt>
                <c:pt idx="7">
                  <c:v>Infrastructure</c:v>
                </c:pt>
              </c:strCache>
            </c:strRef>
          </c:cat>
          <c:val>
            <c:numRef>
              <c:f>Dashboard!$E$75:$E$82</c:f>
              <c:numCache>
                <c:formatCode>0.0%</c:formatCode>
                <c:ptCount val="8"/>
                <c:pt idx="0">
                  <c:v>0.20000000000000007</c:v>
                </c:pt>
                <c:pt idx="1">
                  <c:v>0.22000000000000008</c:v>
                </c:pt>
                <c:pt idx="2">
                  <c:v>0.24000000000000013</c:v>
                </c:pt>
                <c:pt idx="3">
                  <c:v>0.18000000000000005</c:v>
                </c:pt>
                <c:pt idx="4">
                  <c:v>0.16999999999999996</c:v>
                </c:pt>
                <c:pt idx="5">
                  <c:v>0.25</c:v>
                </c:pt>
                <c:pt idx="6">
                  <c:v>0.14999999999999997</c:v>
                </c:pt>
                <c:pt idx="7">
                  <c:v>0.12999999999999995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A7-4A61-90FC-0A16139FCB3A}"/>
            </c:ext>
          </c:extLst>
        </c:ser>
        <c:ser>
          <c:idx val="1"/>
          <c:order val="1"/>
          <c:tx>
            <c:strRef>
              <c:f>Dashboard!$F$74</c:f>
              <c:strCache>
                <c:ptCount val="1"/>
                <c:pt idx="0">
                  <c:v>Actual ROI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Dashboard!$D$75:$D$82</c:f>
              <c:strCache>
                <c:ptCount val="8"/>
                <c:pt idx="0">
                  <c:v>Technology</c:v>
                </c:pt>
                <c:pt idx="1">
                  <c:v>Marketing</c:v>
                </c:pt>
                <c:pt idx="2">
                  <c:v>Product Development</c:v>
                </c:pt>
                <c:pt idx="3">
                  <c:v>Expansion</c:v>
                </c:pt>
                <c:pt idx="4">
                  <c:v>Equipment</c:v>
                </c:pt>
                <c:pt idx="5">
                  <c:v>Automation</c:v>
                </c:pt>
                <c:pt idx="6">
                  <c:v>Training</c:v>
                </c:pt>
                <c:pt idx="7">
                  <c:v>Infrastructure</c:v>
                </c:pt>
              </c:strCache>
            </c:strRef>
          </c:cat>
          <c:val>
            <c:numRef>
              <c:f>Dashboard!$F$75:$F$82</c:f>
              <c:numCache>
                <c:formatCode>0.0%</c:formatCode>
                <c:ptCount val="8"/>
                <c:pt idx="0">
                  <c:v>0.21142614031344883</c:v>
                </c:pt>
                <c:pt idx="1">
                  <c:v>0.17879474147685634</c:v>
                </c:pt>
                <c:pt idx="2">
                  <c:v>6.9627858832269005E-2</c:v>
                </c:pt>
                <c:pt idx="3">
                  <c:v>0.11372768897155552</c:v>
                </c:pt>
                <c:pt idx="4">
                  <c:v>0.15081830925051731</c:v>
                </c:pt>
                <c:pt idx="5">
                  <c:v>0.22352301381103648</c:v>
                </c:pt>
                <c:pt idx="6">
                  <c:v>-1.169621950326037E-2</c:v>
                </c:pt>
                <c:pt idx="7">
                  <c:v>9.3805887595078088E-2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A7-4A61-90FC-0A16139FC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136902"/>
        <c:axId val="30334306"/>
      </c:barChart>
      <c:catAx>
        <c:axId val="401369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30334306"/>
        <c:crosses val="autoZero"/>
        <c:auto val="1"/>
        <c:lblAlgn val="ctr"/>
        <c:lblOffset val="100"/>
        <c:noMultiLvlLbl val="0"/>
      </c:catAx>
      <c:valAx>
        <c:axId val="30334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ROI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013690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NPV vs IRR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xVal>
            <c:numRef>
              <c:f>Dashboard!$J$75:$J$224</c:f>
              <c:numCache>
                <c:formatCode>0.0%</c:formatCode>
                <c:ptCount val="150"/>
                <c:pt idx="0">
                  <c:v>8.4238476632569448E-2</c:v>
                </c:pt>
                <c:pt idx="1">
                  <c:v>5.7028167481365077E-2</c:v>
                </c:pt>
                <c:pt idx="2">
                  <c:v>6.343282015879681E-2</c:v>
                </c:pt>
                <c:pt idx="3">
                  <c:v>6.6126032243419619E-2</c:v>
                </c:pt>
                <c:pt idx="4">
                  <c:v>5.6338011278983302E-2</c:v>
                </c:pt>
                <c:pt idx="5">
                  <c:v>7.9044196370595454E-2</c:v>
                </c:pt>
                <c:pt idx="6">
                  <c:v>9.59082890785945E-4</c:v>
                </c:pt>
                <c:pt idx="7">
                  <c:v>3.7274471665797337E-2</c:v>
                </c:pt>
                <c:pt idx="8">
                  <c:v>9.4507699718861193E-2</c:v>
                </c:pt>
                <c:pt idx="9">
                  <c:v>7.4870557757053424E-2</c:v>
                </c:pt>
                <c:pt idx="10">
                  <c:v>2.0676798411674024E-2</c:v>
                </c:pt>
                <c:pt idx="11">
                  <c:v>5.6985527970591754E-2</c:v>
                </c:pt>
                <c:pt idx="12">
                  <c:v>3.3915998707266359E-2</c:v>
                </c:pt>
                <c:pt idx="13">
                  <c:v>9.3852407194937371E-2</c:v>
                </c:pt>
                <c:pt idx="14">
                  <c:v>2.0681015948993187E-2</c:v>
                </c:pt>
                <c:pt idx="15">
                  <c:v>5.4325330188333298E-2</c:v>
                </c:pt>
                <c:pt idx="16">
                  <c:v>7.3280887802852357E-2</c:v>
                </c:pt>
                <c:pt idx="17">
                  <c:v>5.0240763828989454E-2</c:v>
                </c:pt>
                <c:pt idx="18">
                  <c:v>1.779400062275438E-2</c:v>
                </c:pt>
                <c:pt idx="19">
                  <c:v>1.5790564773516147E-2</c:v>
                </c:pt>
                <c:pt idx="20">
                  <c:v>4.6568564713683758E-2</c:v>
                </c:pt>
                <c:pt idx="21">
                  <c:v>7.0856309984055343E-2</c:v>
                </c:pt>
                <c:pt idx="22">
                  <c:v>-4.9455335111972087E-2</c:v>
                </c:pt>
                <c:pt idx="23">
                  <c:v>2.34803123112719E-2</c:v>
                </c:pt>
                <c:pt idx="24">
                  <c:v>7.7938748360283583E-2</c:v>
                </c:pt>
                <c:pt idx="25">
                  <c:v>6.1788261218792551E-2</c:v>
                </c:pt>
                <c:pt idx="26">
                  <c:v>4.929229425613002E-2</c:v>
                </c:pt>
                <c:pt idx="27">
                  <c:v>2.8565091327503955E-2</c:v>
                </c:pt>
                <c:pt idx="28">
                  <c:v>2.1713745008778984E-2</c:v>
                </c:pt>
                <c:pt idx="33">
                  <c:v>6.0358762576186553E-2</c:v>
                </c:pt>
                <c:pt idx="34">
                  <c:v>1.2221101133348622E-2</c:v>
                </c:pt>
                <c:pt idx="35">
                  <c:v>5.2335554895206915E-2</c:v>
                </c:pt>
                <c:pt idx="36">
                  <c:v>4.9806352241822394E-2</c:v>
                </c:pt>
                <c:pt idx="37">
                  <c:v>2.2167536418655986E-2</c:v>
                </c:pt>
                <c:pt idx="38">
                  <c:v>-1.7342250081645139E-2</c:v>
                </c:pt>
                <c:pt idx="39">
                  <c:v>6.0361293623078405E-2</c:v>
                </c:pt>
                <c:pt idx="40">
                  <c:v>3.9921846528377269E-2</c:v>
                </c:pt>
                <c:pt idx="41">
                  <c:v>6.9175514612309863E-2</c:v>
                </c:pt>
                <c:pt idx="42">
                  <c:v>1.7522836294170174E-2</c:v>
                </c:pt>
                <c:pt idx="43">
                  <c:v>8.7886303416104816E-3</c:v>
                </c:pt>
                <c:pt idx="44">
                  <c:v>5.2829642665181531E-2</c:v>
                </c:pt>
                <c:pt idx="45">
                  <c:v>0.10403045792269872</c:v>
                </c:pt>
                <c:pt idx="46">
                  <c:v>9.1941351061697318E-4</c:v>
                </c:pt>
                <c:pt idx="47">
                  <c:v>4.18403518828947E-2</c:v>
                </c:pt>
                <c:pt idx="48">
                  <c:v>7.1734679189317418E-2</c:v>
                </c:pt>
                <c:pt idx="49">
                  <c:v>1.6923059334829071E-2</c:v>
                </c:pt>
                <c:pt idx="50">
                  <c:v>4.5673938629395394E-2</c:v>
                </c:pt>
                <c:pt idx="51">
                  <c:v>6.1980212920259126E-2</c:v>
                </c:pt>
                <c:pt idx="52">
                  <c:v>6.4266499925562215E-2</c:v>
                </c:pt>
                <c:pt idx="53">
                  <c:v>7.4666997455639095E-2</c:v>
                </c:pt>
                <c:pt idx="54">
                  <c:v>-5.5118785074210752E-3</c:v>
                </c:pt>
                <c:pt idx="55">
                  <c:v>-1.0283298508414473E-3</c:v>
                </c:pt>
                <c:pt idx="56">
                  <c:v>5.8153868814631693E-2</c:v>
                </c:pt>
                <c:pt idx="57">
                  <c:v>4.7636086314546855E-2</c:v>
                </c:pt>
                <c:pt idx="58">
                  <c:v>-1.6400017826666113E-2</c:v>
                </c:pt>
                <c:pt idx="59">
                  <c:v>3.3894264033722754E-2</c:v>
                </c:pt>
                <c:pt idx="60">
                  <c:v>6.1269329820619722E-2</c:v>
                </c:pt>
                <c:pt idx="61">
                  <c:v>5.3855038500927321E-2</c:v>
                </c:pt>
                <c:pt idx="62">
                  <c:v>-1.0899602643525186E-2</c:v>
                </c:pt>
                <c:pt idx="63">
                  <c:v>4.6179155509859626E-2</c:v>
                </c:pt>
                <c:pt idx="64">
                  <c:v>5.4974402441971382E-2</c:v>
                </c:pt>
                <c:pt idx="65">
                  <c:v>6.3664812606374133E-2</c:v>
                </c:pt>
                <c:pt idx="66">
                  <c:v>2.5137100930855416E-2</c:v>
                </c:pt>
                <c:pt idx="67">
                  <c:v>6.0271306582937889E-2</c:v>
                </c:pt>
                <c:pt idx="68">
                  <c:v>7.8580058271160214E-2</c:v>
                </c:pt>
                <c:pt idx="69">
                  <c:v>5.0919904333440513E-2</c:v>
                </c:pt>
                <c:pt idx="70">
                  <c:v>-4.931803684160907E-3</c:v>
                </c:pt>
                <c:pt idx="71">
                  <c:v>9.215234477823131E-3</c:v>
                </c:pt>
                <c:pt idx="72">
                  <c:v>6.1722855352440931E-2</c:v>
                </c:pt>
                <c:pt idx="73">
                  <c:v>5.5375204538077316E-3</c:v>
                </c:pt>
                <c:pt idx="74">
                  <c:v>2.11941008964045E-2</c:v>
                </c:pt>
                <c:pt idx="75">
                  <c:v>2.5364734700997094E-2</c:v>
                </c:pt>
                <c:pt idx="76">
                  <c:v>3.5757623824421714E-3</c:v>
                </c:pt>
                <c:pt idx="77">
                  <c:v>7.3352956459350027E-2</c:v>
                </c:pt>
                <c:pt idx="78">
                  <c:v>-2.1914930273437827E-3</c:v>
                </c:pt>
                <c:pt idx="79">
                  <c:v>3.3700460718595782E-2</c:v>
                </c:pt>
                <c:pt idx="80">
                  <c:v>6.211790618387325E-2</c:v>
                </c:pt>
                <c:pt idx="81">
                  <c:v>6.8222547121640442E-2</c:v>
                </c:pt>
                <c:pt idx="82">
                  <c:v>1.6253707022439112E-2</c:v>
                </c:pt>
                <c:pt idx="83">
                  <c:v>6.1511756968570364E-2</c:v>
                </c:pt>
                <c:pt idx="84">
                  <c:v>5.9821738029205207E-2</c:v>
                </c:pt>
                <c:pt idx="85">
                  <c:v>6.9560268917493229E-2</c:v>
                </c:pt>
                <c:pt idx="86">
                  <c:v>-3.8097619075857514E-3</c:v>
                </c:pt>
                <c:pt idx="87">
                  <c:v>8.5173676155638978E-2</c:v>
                </c:pt>
                <c:pt idx="88">
                  <c:v>5.2827908376814836E-2</c:v>
                </c:pt>
                <c:pt idx="89">
                  <c:v>8.4871080803067933E-2</c:v>
                </c:pt>
                <c:pt idx="90">
                  <c:v>2.5187640455722304E-2</c:v>
                </c:pt>
                <c:pt idx="91">
                  <c:v>2.6371996775724105E-2</c:v>
                </c:pt>
                <c:pt idx="92">
                  <c:v>3.3287581363067087E-2</c:v>
                </c:pt>
                <c:pt idx="93">
                  <c:v>0.13695025867595523</c:v>
                </c:pt>
                <c:pt idx="94">
                  <c:v>-1.5487890921792924E-2</c:v>
                </c:pt>
                <c:pt idx="95">
                  <c:v>1.8023262301116061E-2</c:v>
                </c:pt>
                <c:pt idx="96">
                  <c:v>8.9973513705079E-2</c:v>
                </c:pt>
                <c:pt idx="97">
                  <c:v>4.0891581417851874E-2</c:v>
                </c:pt>
                <c:pt idx="98">
                  <c:v>1.9200879234462009E-2</c:v>
                </c:pt>
                <c:pt idx="99">
                  <c:v>-5.8138333598382053E-3</c:v>
                </c:pt>
                <c:pt idx="100">
                  <c:v>7.4963050327515157E-2</c:v>
                </c:pt>
                <c:pt idx="101">
                  <c:v>9.7942997751364613E-2</c:v>
                </c:pt>
                <c:pt idx="102">
                  <c:v>1.7902930478846502E-2</c:v>
                </c:pt>
                <c:pt idx="103">
                  <c:v>4.1677296693717558E-2</c:v>
                </c:pt>
                <c:pt idx="104">
                  <c:v>5.0213889198849948E-2</c:v>
                </c:pt>
                <c:pt idx="105">
                  <c:v>4.5605561775867054E-2</c:v>
                </c:pt>
                <c:pt idx="106">
                  <c:v>7.9229746608031615E-3</c:v>
                </c:pt>
                <c:pt idx="107">
                  <c:v>4.1718171005721505E-2</c:v>
                </c:pt>
                <c:pt idx="108">
                  <c:v>4.4838256350330896E-2</c:v>
                </c:pt>
                <c:pt idx="109">
                  <c:v>8.0335559856817174E-2</c:v>
                </c:pt>
                <c:pt idx="110">
                  <c:v>-3.4494975102094094E-2</c:v>
                </c:pt>
                <c:pt idx="111">
                  <c:v>1.7708040705578298E-2</c:v>
                </c:pt>
                <c:pt idx="112">
                  <c:v>8.1092707006335862E-2</c:v>
                </c:pt>
                <c:pt idx="113">
                  <c:v>7.7365185669763248E-2</c:v>
                </c:pt>
                <c:pt idx="114">
                  <c:v>4.9205834196559994E-2</c:v>
                </c:pt>
                <c:pt idx="115">
                  <c:v>4.1651163749573783E-2</c:v>
                </c:pt>
                <c:pt idx="116">
                  <c:v>6.416848021952104E-2</c:v>
                </c:pt>
                <c:pt idx="117">
                  <c:v>6.6572397276029927E-2</c:v>
                </c:pt>
                <c:pt idx="118">
                  <c:v>-2.7162250223241924E-2</c:v>
                </c:pt>
                <c:pt idx="119">
                  <c:v>2.0797931149269866E-2</c:v>
                </c:pt>
                <c:pt idx="120">
                  <c:v>4.7183352703328518E-2</c:v>
                </c:pt>
                <c:pt idx="121">
                  <c:v>7.0865015478487559E-2</c:v>
                </c:pt>
                <c:pt idx="122">
                  <c:v>1.4520878933508952E-2</c:v>
                </c:pt>
                <c:pt idx="123">
                  <c:v>3.0482052001857829E-2</c:v>
                </c:pt>
                <c:pt idx="124">
                  <c:v>6.2287782274225822E-2</c:v>
                </c:pt>
                <c:pt idx="125">
                  <c:v>3.6483018227810637E-2</c:v>
                </c:pt>
                <c:pt idx="126">
                  <c:v>-5.6115135284229289E-3</c:v>
                </c:pt>
                <c:pt idx="127">
                  <c:v>1.6869456481582779E-2</c:v>
                </c:pt>
                <c:pt idx="128">
                  <c:v>7.7206422640301975E-2</c:v>
                </c:pt>
                <c:pt idx="129">
                  <c:v>9.0387727258110395E-2</c:v>
                </c:pt>
                <c:pt idx="130">
                  <c:v>4.5996073410998761E-3</c:v>
                </c:pt>
                <c:pt idx="131">
                  <c:v>5.3209707200904788E-2</c:v>
                </c:pt>
                <c:pt idx="132">
                  <c:v>5.8919896332005006E-2</c:v>
                </c:pt>
                <c:pt idx="133">
                  <c:v>5.7985290778736376E-2</c:v>
                </c:pt>
                <c:pt idx="134">
                  <c:v>-1.4678961529182466E-2</c:v>
                </c:pt>
                <c:pt idx="135">
                  <c:v>2.1046576474892831E-2</c:v>
                </c:pt>
                <c:pt idx="136">
                  <c:v>9.3237519594656426E-2</c:v>
                </c:pt>
                <c:pt idx="137">
                  <c:v>5.0998873366667752E-2</c:v>
                </c:pt>
                <c:pt idx="138">
                  <c:v>2.2407175795362999E-2</c:v>
                </c:pt>
                <c:pt idx="139">
                  <c:v>1.448844984777975E-2</c:v>
                </c:pt>
                <c:pt idx="140">
                  <c:v>1.4471763538431937E-2</c:v>
                </c:pt>
                <c:pt idx="141">
                  <c:v>4.5528069457679399E-2</c:v>
                </c:pt>
                <c:pt idx="142">
                  <c:v>2.9856045600713532E-3</c:v>
                </c:pt>
                <c:pt idx="143">
                  <c:v>1.3568243501460575E-3</c:v>
                </c:pt>
                <c:pt idx="144">
                  <c:v>5.3172971183625517E-2</c:v>
                </c:pt>
                <c:pt idx="145">
                  <c:v>4.0190871510462856E-2</c:v>
                </c:pt>
                <c:pt idx="146">
                  <c:v>4.2706122025275572E-3</c:v>
                </c:pt>
                <c:pt idx="147">
                  <c:v>5.7257429565497064E-2</c:v>
                </c:pt>
                <c:pt idx="148">
                  <c:v>5.0157321332374494E-2</c:v>
                </c:pt>
                <c:pt idx="149">
                  <c:v>6.1263036341589139E-2</c:v>
                </c:pt>
              </c:numCache>
            </c:numRef>
          </c:xVal>
          <c:yVal>
            <c:numRef>
              <c:f>Dashboard!$I$75:$I$224</c:f>
              <c:numCache>
                <c:formatCode>\₹#,##0</c:formatCode>
                <c:ptCount val="150"/>
                <c:pt idx="0">
                  <c:v>-2319089.8739748523</c:v>
                </c:pt>
                <c:pt idx="1">
                  <c:v>-1040104.4646030907</c:v>
                </c:pt>
                <c:pt idx="2">
                  <c:v>-3257618.069847744</c:v>
                </c:pt>
                <c:pt idx="3">
                  <c:v>-1412400.2926040664</c:v>
                </c:pt>
                <c:pt idx="4">
                  <c:v>-4779443.6224185079</c:v>
                </c:pt>
                <c:pt idx="5">
                  <c:v>-1001010.2521966621</c:v>
                </c:pt>
                <c:pt idx="6">
                  <c:v>-3422500.9059390966</c:v>
                </c:pt>
                <c:pt idx="7">
                  <c:v>-3461612.6404058412</c:v>
                </c:pt>
                <c:pt idx="8">
                  <c:v>-291594.63737031817</c:v>
                </c:pt>
                <c:pt idx="9">
                  <c:v>-602681.14698893763</c:v>
                </c:pt>
                <c:pt idx="10">
                  <c:v>-5616136.8097846024</c:v>
                </c:pt>
                <c:pt idx="11">
                  <c:v>-2505748.7823188342</c:v>
                </c:pt>
                <c:pt idx="12">
                  <c:v>-1776560.4564946648</c:v>
                </c:pt>
                <c:pt idx="13">
                  <c:v>-724925.68615786359</c:v>
                </c:pt>
                <c:pt idx="14">
                  <c:v>-758742.06236716406</c:v>
                </c:pt>
                <c:pt idx="15">
                  <c:v>-4099157.7944429442</c:v>
                </c:pt>
                <c:pt idx="16">
                  <c:v>-3050222.1434372067</c:v>
                </c:pt>
                <c:pt idx="17">
                  <c:v>-1798835.1803990286</c:v>
                </c:pt>
                <c:pt idx="18">
                  <c:v>-5369919.8513890207</c:v>
                </c:pt>
                <c:pt idx="19">
                  <c:v>-10234203.426068015</c:v>
                </c:pt>
                <c:pt idx="20">
                  <c:v>-2416695.9100855757</c:v>
                </c:pt>
                <c:pt idx="21">
                  <c:v>-2174578.9936385378</c:v>
                </c:pt>
                <c:pt idx="22">
                  <c:v>-1021000.4536803083</c:v>
                </c:pt>
                <c:pt idx="23">
                  <c:v>-8348698.6608120427</c:v>
                </c:pt>
                <c:pt idx="24">
                  <c:v>-1317902.2882173583</c:v>
                </c:pt>
                <c:pt idx="25">
                  <c:v>-2756613.2741649076</c:v>
                </c:pt>
                <c:pt idx="26">
                  <c:v>-2671560.3027187511</c:v>
                </c:pt>
                <c:pt idx="27">
                  <c:v>-7541189.1426706985</c:v>
                </c:pt>
                <c:pt idx="28">
                  <c:v>-6141579.2913875543</c:v>
                </c:pt>
                <c:pt idx="33">
                  <c:v>-2499545.1630337909</c:v>
                </c:pt>
                <c:pt idx="34">
                  <c:v>-4373462.2923634183</c:v>
                </c:pt>
                <c:pt idx="35">
                  <c:v>-3276648.9191082679</c:v>
                </c:pt>
                <c:pt idx="36">
                  <c:v>-1742490.4338932075</c:v>
                </c:pt>
                <c:pt idx="37">
                  <c:v>-6722812.5910469815</c:v>
                </c:pt>
                <c:pt idx="38">
                  <c:v>-3285677.4511220008</c:v>
                </c:pt>
                <c:pt idx="39">
                  <c:v>-5226504.9780760184</c:v>
                </c:pt>
                <c:pt idx="40">
                  <c:v>-7221761.48367019</c:v>
                </c:pt>
                <c:pt idx="41">
                  <c:v>-759485.54722838383</c:v>
                </c:pt>
                <c:pt idx="42">
                  <c:v>-6102205.8536652923</c:v>
                </c:pt>
                <c:pt idx="43">
                  <c:v>-5861882.9706668481</c:v>
                </c:pt>
                <c:pt idx="44">
                  <c:v>-4727243.7370932214</c:v>
                </c:pt>
                <c:pt idx="45">
                  <c:v>141553.02946784906</c:v>
                </c:pt>
                <c:pt idx="46">
                  <c:v>-717572.38071235432</c:v>
                </c:pt>
                <c:pt idx="47">
                  <c:v>-3053558.0630833376</c:v>
                </c:pt>
                <c:pt idx="48">
                  <c:v>-1555006.497485416</c:v>
                </c:pt>
                <c:pt idx="49">
                  <c:v>-2933440.0952047892</c:v>
                </c:pt>
                <c:pt idx="50">
                  <c:v>-3687701.5444007777</c:v>
                </c:pt>
                <c:pt idx="51">
                  <c:v>-3383846.862947613</c:v>
                </c:pt>
                <c:pt idx="52">
                  <c:v>-3378725.7140060104</c:v>
                </c:pt>
                <c:pt idx="53">
                  <c:v>-2016689.6640513912</c:v>
                </c:pt>
                <c:pt idx="54">
                  <c:v>-2004144.5609880397</c:v>
                </c:pt>
                <c:pt idx="55">
                  <c:v>-16690405.935533501</c:v>
                </c:pt>
                <c:pt idx="56">
                  <c:v>-1459110.9589215666</c:v>
                </c:pt>
                <c:pt idx="57">
                  <c:v>-771715.21573687717</c:v>
                </c:pt>
                <c:pt idx="58">
                  <c:v>-7146640.4311681874</c:v>
                </c:pt>
                <c:pt idx="59">
                  <c:v>-5853183.1565319672</c:v>
                </c:pt>
                <c:pt idx="60">
                  <c:v>-4246366.2506147325</c:v>
                </c:pt>
                <c:pt idx="61">
                  <c:v>-2134928.3338841386</c:v>
                </c:pt>
                <c:pt idx="62">
                  <c:v>-2118296.3264269931</c:v>
                </c:pt>
                <c:pt idx="63">
                  <c:v>-5233777.5585553274</c:v>
                </c:pt>
                <c:pt idx="64">
                  <c:v>-4750277.2161403932</c:v>
                </c:pt>
                <c:pt idx="65">
                  <c:v>-1326276.1661742404</c:v>
                </c:pt>
                <c:pt idx="66">
                  <c:v>-8217929.3195058629</c:v>
                </c:pt>
                <c:pt idx="67">
                  <c:v>-3075131.2239712849</c:v>
                </c:pt>
                <c:pt idx="68">
                  <c:v>-1259452.9786420166</c:v>
                </c:pt>
                <c:pt idx="69">
                  <c:v>-3674436.9339859486</c:v>
                </c:pt>
                <c:pt idx="70">
                  <c:v>-2521571.0038749939</c:v>
                </c:pt>
                <c:pt idx="71">
                  <c:v>-4480858.2940327451</c:v>
                </c:pt>
                <c:pt idx="72">
                  <c:v>-2529718.3706225529</c:v>
                </c:pt>
                <c:pt idx="73">
                  <c:v>-4018175.8947905786</c:v>
                </c:pt>
                <c:pt idx="74">
                  <c:v>-8571359.3619153798</c:v>
                </c:pt>
                <c:pt idx="75">
                  <c:v>-7158577.8383312672</c:v>
                </c:pt>
                <c:pt idx="76">
                  <c:v>-10473972.246801153</c:v>
                </c:pt>
                <c:pt idx="77">
                  <c:v>-2462448.1245677471</c:v>
                </c:pt>
                <c:pt idx="78">
                  <c:v>-3111033.267933635</c:v>
                </c:pt>
                <c:pt idx="79">
                  <c:v>-10593402.940039672</c:v>
                </c:pt>
                <c:pt idx="80">
                  <c:v>-1979400.0970565416</c:v>
                </c:pt>
                <c:pt idx="81">
                  <c:v>-1407100.290394593</c:v>
                </c:pt>
                <c:pt idx="82">
                  <c:v>-10212907.988627363</c:v>
                </c:pt>
                <c:pt idx="83">
                  <c:v>-2730376.3251442984</c:v>
                </c:pt>
                <c:pt idx="84">
                  <c:v>-5066490.5602369085</c:v>
                </c:pt>
                <c:pt idx="85">
                  <c:v>-2970051.2119268477</c:v>
                </c:pt>
                <c:pt idx="86">
                  <c:v>-2116604.9510443266</c:v>
                </c:pt>
                <c:pt idx="87">
                  <c:v>-3291346.9634564146</c:v>
                </c:pt>
                <c:pt idx="88">
                  <c:v>-4121443.4800141715</c:v>
                </c:pt>
                <c:pt idx="89">
                  <c:v>-810386.86126304418</c:v>
                </c:pt>
                <c:pt idx="90">
                  <c:v>-3183697.7882116549</c:v>
                </c:pt>
                <c:pt idx="91">
                  <c:v>-9136787.9661192596</c:v>
                </c:pt>
                <c:pt idx="92">
                  <c:v>-5424611.4822007604</c:v>
                </c:pt>
                <c:pt idx="93">
                  <c:v>1925113.0871637166</c:v>
                </c:pt>
                <c:pt idx="94">
                  <c:v>-1214436.3728502044</c:v>
                </c:pt>
                <c:pt idx="95">
                  <c:v>-8521995.5530999415</c:v>
                </c:pt>
                <c:pt idx="96">
                  <c:v>-1696352.6244532987</c:v>
                </c:pt>
                <c:pt idx="97">
                  <c:v>-2371572.768820649</c:v>
                </c:pt>
                <c:pt idx="98">
                  <c:v>-3309072.4080173392</c:v>
                </c:pt>
                <c:pt idx="99">
                  <c:v>-4926088.1231224202</c:v>
                </c:pt>
                <c:pt idx="100">
                  <c:v>-1276400.2624603603</c:v>
                </c:pt>
                <c:pt idx="101">
                  <c:v>-236072.70319177955</c:v>
                </c:pt>
                <c:pt idx="102">
                  <c:v>-603930.29595653014</c:v>
                </c:pt>
                <c:pt idx="103">
                  <c:v>-7121467.9197792262</c:v>
                </c:pt>
                <c:pt idx="104">
                  <c:v>-5050305.5211544856</c:v>
                </c:pt>
                <c:pt idx="105">
                  <c:v>-1174785.2811248451</c:v>
                </c:pt>
                <c:pt idx="106">
                  <c:v>-6383129.5332356319</c:v>
                </c:pt>
                <c:pt idx="107">
                  <c:v>-7744536.6162241772</c:v>
                </c:pt>
                <c:pt idx="108">
                  <c:v>-4927298.1157571115</c:v>
                </c:pt>
                <c:pt idx="109">
                  <c:v>-2127666.6970955469</c:v>
                </c:pt>
                <c:pt idx="110">
                  <c:v>-1949402.0895498479</c:v>
                </c:pt>
                <c:pt idx="111">
                  <c:v>-12573552.180820443</c:v>
                </c:pt>
                <c:pt idx="112">
                  <c:v>-811315.17659080401</c:v>
                </c:pt>
                <c:pt idx="113">
                  <c:v>-872992.35466318391</c:v>
                </c:pt>
                <c:pt idx="114">
                  <c:v>-4189602.6547779925</c:v>
                </c:pt>
                <c:pt idx="115">
                  <c:v>-4690884.6980776489</c:v>
                </c:pt>
                <c:pt idx="116">
                  <c:v>-2214849.9582516067</c:v>
                </c:pt>
                <c:pt idx="117">
                  <c:v>-2577513.9534953497</c:v>
                </c:pt>
                <c:pt idx="118">
                  <c:v>-2090999.3718981831</c:v>
                </c:pt>
                <c:pt idx="119">
                  <c:v>-6561213.623717472</c:v>
                </c:pt>
                <c:pt idx="120">
                  <c:v>-3730867.7123967782</c:v>
                </c:pt>
                <c:pt idx="121">
                  <c:v>-1295250.1129060164</c:v>
                </c:pt>
                <c:pt idx="122">
                  <c:v>-9111873.7030647397</c:v>
                </c:pt>
                <c:pt idx="123">
                  <c:v>-8175071.7975572944</c:v>
                </c:pt>
                <c:pt idx="124">
                  <c:v>-2814240.7254848182</c:v>
                </c:pt>
                <c:pt idx="125">
                  <c:v>-4453222.6551769339</c:v>
                </c:pt>
                <c:pt idx="126">
                  <c:v>-2803213.1865694402</c:v>
                </c:pt>
                <c:pt idx="127">
                  <c:v>-9966956.7910553701</c:v>
                </c:pt>
                <c:pt idx="128">
                  <c:v>-994014.75185691006</c:v>
                </c:pt>
                <c:pt idx="129">
                  <c:v>-408581.00396758318</c:v>
                </c:pt>
                <c:pt idx="130">
                  <c:v>-8244397.4024543129</c:v>
                </c:pt>
                <c:pt idx="131">
                  <c:v>-2606830.9374250621</c:v>
                </c:pt>
                <c:pt idx="132">
                  <c:v>-1877785.787105605</c:v>
                </c:pt>
                <c:pt idx="133">
                  <c:v>-1866018.5132153854</c:v>
                </c:pt>
                <c:pt idx="134">
                  <c:v>-967067.9009391428</c:v>
                </c:pt>
                <c:pt idx="135">
                  <c:v>-7844447.8528062627</c:v>
                </c:pt>
                <c:pt idx="136">
                  <c:v>-752573.03015398979</c:v>
                </c:pt>
                <c:pt idx="137">
                  <c:v>-2241806.8233300578</c:v>
                </c:pt>
                <c:pt idx="138">
                  <c:v>-3163686.6807422917</c:v>
                </c:pt>
                <c:pt idx="139">
                  <c:v>-12236285.768945299</c:v>
                </c:pt>
                <c:pt idx="140">
                  <c:v>-3615241.864357708</c:v>
                </c:pt>
                <c:pt idx="141">
                  <c:v>-2982939.6123710088</c:v>
                </c:pt>
                <c:pt idx="142">
                  <c:v>-2719798.1834207978</c:v>
                </c:pt>
                <c:pt idx="143">
                  <c:v>-8786139.745874323</c:v>
                </c:pt>
                <c:pt idx="144">
                  <c:v>-1160295.9942645635</c:v>
                </c:pt>
                <c:pt idx="145">
                  <c:v>-3899216.9950077534</c:v>
                </c:pt>
                <c:pt idx="146">
                  <c:v>-5809504.608266212</c:v>
                </c:pt>
                <c:pt idx="147">
                  <c:v>-1903559.8562358953</c:v>
                </c:pt>
                <c:pt idx="148">
                  <c:v>-5355626.6733072996</c:v>
                </c:pt>
                <c:pt idx="149">
                  <c:v>-2123927.4738784153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037-4D32-A110-7A8BF30F4B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79671"/>
        <c:axId val="23249892"/>
      </c:scatterChart>
      <c:valAx>
        <c:axId val="54979671"/>
        <c:scaling>
          <c:orientation val="minMax"/>
          <c:max val="0.2"/>
          <c:min val="-0.1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IRR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3249892"/>
        <c:crosses val="autoZero"/>
        <c:crossBetween val="midCat"/>
      </c:valAx>
      <c:valAx>
        <c:axId val="23249892"/>
        <c:scaling>
          <c:orientation val="minMax"/>
          <c:min val="-2000000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NPV (₹)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₹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4979671"/>
        <c:crosses val="autoZero"/>
        <c:crossBetween val="midCat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IN" sz="1800" b="1" u="none" strike="noStrike">
                <a:solidFill>
                  <a:srgbClr val="000000"/>
                </a:solidFill>
                <a:uFillTx/>
                <a:latin typeface="Calibri"/>
              </a:rPr>
              <a:t>Shortest Payback Investments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Dashboard!$B$91</c:f>
              <c:strCache>
                <c:ptCount val="1"/>
                <c:pt idx="0">
                  <c:v>Payback Years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Dashboard!$A$92:$A$101</c:f>
              <c:strCache>
                <c:ptCount val="10"/>
                <c:pt idx="0">
                  <c:v>RPA Finance Rollout – North</c:v>
                </c:pt>
                <c:pt idx="1">
                  <c:v>RPA Finance Rollout – East</c:v>
                </c:pt>
                <c:pt idx="2">
                  <c:v>RPA Finance Rollout – Central</c:v>
                </c:pt>
                <c:pt idx="3">
                  <c:v>ERP Cloud Migration – West</c:v>
                </c:pt>
                <c:pt idx="4">
                  <c:v>RPA Finance Rollout – South</c:v>
                </c:pt>
                <c:pt idx="5">
                  <c:v>ERP Cloud Migration – North</c:v>
                </c:pt>
                <c:pt idx="6">
                  <c:v>RPA Finance Rollout – North</c:v>
                </c:pt>
                <c:pt idx="7">
                  <c:v>ERP Cloud Migration – South</c:v>
                </c:pt>
                <c:pt idx="8">
                  <c:v>Brand Repositioning – East</c:v>
                </c:pt>
                <c:pt idx="9">
                  <c:v>ERP Cloud Migration – South</c:v>
                </c:pt>
              </c:strCache>
            </c:strRef>
          </c:cat>
          <c:val>
            <c:numRef>
              <c:f>Dashboard!$B$92:$B$101</c:f>
              <c:numCache>
                <c:formatCode>0.00</c:formatCode>
                <c:ptCount val="10"/>
                <c:pt idx="0">
                  <c:v>3.4583952580797295</c:v>
                </c:pt>
                <c:pt idx="1">
                  <c:v>3.6039986691846839</c:v>
                </c:pt>
                <c:pt idx="2">
                  <c:v>3.7520755694342696</c:v>
                </c:pt>
                <c:pt idx="3">
                  <c:v>3.7748640074476305</c:v>
                </c:pt>
                <c:pt idx="4">
                  <c:v>3.8107915070978509</c:v>
                </c:pt>
                <c:pt idx="5">
                  <c:v>3.8445803886147405</c:v>
                </c:pt>
                <c:pt idx="6">
                  <c:v>3.8510802872250998</c:v>
                </c:pt>
                <c:pt idx="7">
                  <c:v>3.8571954425256743</c:v>
                </c:pt>
                <c:pt idx="8">
                  <c:v>3.8857413202325461</c:v>
                </c:pt>
                <c:pt idx="9">
                  <c:v>3.8899185879393987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AE-400C-908D-40D1F5C33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2008035"/>
        <c:axId val="41073641"/>
      </c:barChart>
      <c:catAx>
        <c:axId val="8200803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IN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Years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41073641"/>
        <c:crosses val="autoZero"/>
        <c:auto val="1"/>
        <c:lblAlgn val="ctr"/>
        <c:lblOffset val="100"/>
        <c:noMultiLvlLbl val="0"/>
      </c:catAx>
      <c:valAx>
        <c:axId val="4107364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82008035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130680</xdr:rowOff>
    </xdr:from>
    <xdr:to>
      <xdr:col>2</xdr:col>
      <xdr:colOff>779760</xdr:colOff>
      <xdr:row>42</xdr:row>
      <xdr:rowOff>173520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29</xdr:row>
      <xdr:rowOff>130680</xdr:rowOff>
    </xdr:from>
    <xdr:to>
      <xdr:col>8</xdr:col>
      <xdr:colOff>639000</xdr:colOff>
      <xdr:row>42</xdr:row>
      <xdr:rowOff>173520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29</xdr:row>
      <xdr:rowOff>130680</xdr:rowOff>
    </xdr:from>
    <xdr:to>
      <xdr:col>13</xdr:col>
      <xdr:colOff>75240</xdr:colOff>
      <xdr:row>42</xdr:row>
      <xdr:rowOff>173520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44</xdr:row>
      <xdr:rowOff>131040</xdr:rowOff>
    </xdr:from>
    <xdr:to>
      <xdr:col>2</xdr:col>
      <xdr:colOff>779760</xdr:colOff>
      <xdr:row>57</xdr:row>
      <xdr:rowOff>173880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0</xdr:colOff>
      <xdr:row>44</xdr:row>
      <xdr:rowOff>131040</xdr:rowOff>
    </xdr:from>
    <xdr:to>
      <xdr:col>8</xdr:col>
      <xdr:colOff>639000</xdr:colOff>
      <xdr:row>57</xdr:row>
      <xdr:rowOff>173880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72</xdr:row>
      <xdr:rowOff>101160</xdr:rowOff>
    </xdr:from>
    <xdr:to>
      <xdr:col>2</xdr:col>
      <xdr:colOff>779760</xdr:colOff>
      <xdr:row>85</xdr:row>
      <xdr:rowOff>144000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984249</xdr:colOff>
      <xdr:row>85</xdr:row>
      <xdr:rowOff>16494</xdr:rowOff>
    </xdr:from>
    <xdr:to>
      <xdr:col>6</xdr:col>
      <xdr:colOff>427332</xdr:colOff>
      <xdr:row>98</xdr:row>
      <xdr:rowOff>59334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10</xdr:col>
      <xdr:colOff>201084</xdr:colOff>
      <xdr:row>72</xdr:row>
      <xdr:rowOff>143493</xdr:rowOff>
    </xdr:from>
    <xdr:to>
      <xdr:col>12</xdr:col>
      <xdr:colOff>741990</xdr:colOff>
      <xdr:row>85</xdr:row>
      <xdr:rowOff>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10</xdr:col>
      <xdr:colOff>158750</xdr:colOff>
      <xdr:row>85</xdr:row>
      <xdr:rowOff>175243</xdr:rowOff>
    </xdr:from>
    <xdr:to>
      <xdr:col>12</xdr:col>
      <xdr:colOff>779760</xdr:colOff>
      <xdr:row>98</xdr:row>
      <xdr:rowOff>74083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4" name="tblRawData" displayName="tblRawData" ref="A4:P154" totalsRowShown="0">
  <autoFilter ref="A4:P154"/>
  <tableColumns count="16">
    <tableColumn id="1" name="Investment_ID"/>
    <tableColumn id="2" name="Investment_Name"/>
    <tableColumn id="3" name="Investment_Category"/>
    <tableColumn id="4" name="Department"/>
    <tableColumn id="5" name="Region"/>
    <tableColumn id="6" name="Start_Date"/>
    <tableColumn id="7" name="End_Date"/>
    <tableColumn id="8" name="Initial_Investment"/>
    <tableColumn id="9" name="Additional_Investment"/>
    <tableColumn id="10" name="Budgeted_Investment"/>
    <tableColumn id="11" name="Expected_Revenue"/>
    <tableColumn id="12" name="Actual_Revenue"/>
    <tableColumn id="13" name="Expected_Cost_Savings"/>
    <tableColumn id="14" name="Actual_Cost_Savings"/>
    <tableColumn id="15" name="Investment_Status"/>
    <tableColumn id="16" name="Risk_Level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6" name="tblROIAnalysis" displayName="tblROIAnalysis" ref="A4:K154" totalsRowShown="0">
  <autoFilter ref="A4:K154"/>
  <tableColumns count="11">
    <tableColumn id="1" name="Investment_ID"/>
    <tableColumn id="2" name="Investment_Name"/>
    <tableColumn id="3" name="Category"/>
    <tableColumn id="4" name="Department"/>
    <tableColumn id="5" name="Total Investment"/>
    <tableColumn id="6" name="Actual ROI"/>
    <tableColumn id="7" name="Target ROI"/>
    <tableColumn id="8" name="ROI Variance"/>
    <tableColumn id="9" name="ROI Classification"/>
    <tableColumn id="10" name="Performance Rating"/>
    <tableColumn id="11" name="Recommendation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blNPVIRR" displayName="tblNPVIRR" ref="A4:M154" totalsRowShown="0">
  <autoFilter ref="A4:M154"/>
  <tableColumns count="13">
    <tableColumn id="1" name="Investment_ID"/>
    <tableColumn id="2" name="Investment_Name"/>
    <tableColumn id="3" name="Initial Investment"/>
    <tableColumn id="4" name="Discount Rate"/>
    <tableColumn id="5" name="Year 0"/>
    <tableColumn id="6" name="Year 1"/>
    <tableColumn id="7" name="Year 2"/>
    <tableColumn id="8" name="Year 3"/>
    <tableColumn id="9" name="Year 4"/>
    <tableColumn id="10" name="Year 5"/>
    <tableColumn id="11" name="NPV"/>
    <tableColumn id="12" name="IRR"/>
    <tableColumn id="13" name="Payback Year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" name="tblBudgetActual" displayName="tblBudgetActual" ref="A4:I154" totalsRowShown="0">
  <autoFilter ref="A4:I154"/>
  <tableColumns count="9">
    <tableColumn id="1" name="Investment_ID"/>
    <tableColumn id="2" name="Investment_Name"/>
    <tableColumn id="3" name="Category"/>
    <tableColumn id="4" name="Department"/>
    <tableColumn id="5" name="Budgeted Investment"/>
    <tableColumn id="6" name="Actual Investment"/>
    <tableColumn id="7" name="Variance"/>
    <tableColumn id="8" name="Variance %"/>
    <tableColumn id="9" name="Statu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5" name="tblRiskReturn" displayName="tblRiskReturn" ref="A4:I154" totalsRowShown="0">
  <autoFilter ref="A4:I154"/>
  <tableColumns count="9">
    <tableColumn id="1" name="Investment_ID"/>
    <tableColumn id="2" name="Investment_Name"/>
    <tableColumn id="3" name="Risk_Level"/>
    <tableColumn id="4" name="Risk_Score"/>
    <tableColumn id="5" name="Actual ROI"/>
    <tableColumn id="6" name="Actual Return"/>
    <tableColumn id="7" name="Total Investment"/>
    <tableColumn id="8" name="Quadrant"/>
    <tableColumn id="9" name="Performance 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54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customHeight="1" x14ac:dyDescent="0.25"/>
  <cols>
    <col min="1" max="1" width="14" style="15" customWidth="1"/>
    <col min="2" max="2" width="34" style="15" customWidth="1"/>
    <col min="3" max="3" width="22" style="15" customWidth="1"/>
    <col min="4" max="4" width="16" style="15" customWidth="1"/>
    <col min="5" max="5" width="12" style="15" customWidth="1"/>
    <col min="6" max="7" width="13" style="15" customWidth="1"/>
    <col min="8" max="12" width="18" style="15" customWidth="1"/>
    <col min="13" max="14" width="20" style="15" customWidth="1"/>
    <col min="15" max="15" width="18" style="15" customWidth="1"/>
    <col min="16" max="16" width="14" style="15" customWidth="1"/>
  </cols>
  <sheetData>
    <row r="1" spans="1:16" ht="30" customHeight="1" x14ac:dyDescent="0.25">
      <c r="A1" s="14" t="s">
        <v>0</v>
      </c>
      <c r="B1" s="14"/>
      <c r="C1" s="14"/>
      <c r="D1" s="14"/>
      <c r="E1" s="14"/>
      <c r="F1" s="14"/>
      <c r="G1" s="14"/>
      <c r="H1" s="14"/>
    </row>
    <row r="2" spans="1:16" ht="19.5" customHeight="1" x14ac:dyDescent="0.25">
      <c r="A2" s="13" t="s">
        <v>1</v>
      </c>
      <c r="B2" s="13"/>
      <c r="C2" s="13"/>
      <c r="D2" s="13"/>
      <c r="E2" s="13"/>
      <c r="F2" s="13"/>
      <c r="G2" s="13"/>
      <c r="H2" s="13"/>
    </row>
    <row r="4" spans="1:16" ht="27.75" customHeight="1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11</v>
      </c>
      <c r="K4" s="16" t="s">
        <v>12</v>
      </c>
      <c r="L4" s="16" t="s">
        <v>13</v>
      </c>
      <c r="M4" s="16" t="s">
        <v>14</v>
      </c>
      <c r="N4" s="16" t="s">
        <v>15</v>
      </c>
      <c r="O4" s="16" t="s">
        <v>16</v>
      </c>
      <c r="P4" s="16" t="s">
        <v>17</v>
      </c>
    </row>
    <row r="5" spans="1:16" ht="15" customHeight="1" x14ac:dyDescent="0.25">
      <c r="A5" s="17" t="s">
        <v>18</v>
      </c>
      <c r="B5" s="17" t="s">
        <v>19</v>
      </c>
      <c r="C5" s="17" t="s">
        <v>20</v>
      </c>
      <c r="D5" s="17" t="s">
        <v>21</v>
      </c>
      <c r="E5" s="17" t="s">
        <v>22</v>
      </c>
      <c r="F5" s="18">
        <v>45925</v>
      </c>
      <c r="G5" s="18">
        <v>46643</v>
      </c>
      <c r="H5" s="19">
        <v>33630000</v>
      </c>
      <c r="I5" s="19">
        <v>2620000</v>
      </c>
      <c r="J5" s="19">
        <v>36270000</v>
      </c>
      <c r="K5" s="19">
        <v>44295443.250237301</v>
      </c>
      <c r="L5" s="19">
        <v>44650965.644007199</v>
      </c>
      <c r="M5" s="19">
        <v>1555987.8529939</v>
      </c>
      <c r="N5" s="19">
        <v>1252518.6305691299</v>
      </c>
      <c r="O5" s="17" t="s">
        <v>23</v>
      </c>
      <c r="P5" s="17" t="s">
        <v>24</v>
      </c>
    </row>
    <row r="6" spans="1:16" ht="15" customHeight="1" x14ac:dyDescent="0.25">
      <c r="A6" s="17" t="s">
        <v>25</v>
      </c>
      <c r="B6" s="17" t="s">
        <v>26</v>
      </c>
      <c r="C6" s="17" t="s">
        <v>27</v>
      </c>
      <c r="D6" s="17" t="s">
        <v>28</v>
      </c>
      <c r="E6" s="17" t="s">
        <v>29</v>
      </c>
      <c r="F6" s="18">
        <v>46045</v>
      </c>
      <c r="G6" s="18">
        <v>46699</v>
      </c>
      <c r="H6" s="19">
        <v>7490000</v>
      </c>
      <c r="I6" s="19">
        <v>530000</v>
      </c>
      <c r="J6" s="19">
        <v>8460000</v>
      </c>
      <c r="K6" s="19">
        <v>9041768.0320487693</v>
      </c>
      <c r="L6" s="19">
        <v>9120793.5188122801</v>
      </c>
      <c r="M6" s="19">
        <v>356078.54636700603</v>
      </c>
      <c r="N6" s="19">
        <v>321968.958151998</v>
      </c>
      <c r="O6" s="17" t="s">
        <v>30</v>
      </c>
      <c r="P6" s="17" t="s">
        <v>31</v>
      </c>
    </row>
    <row r="7" spans="1:16" ht="15" customHeight="1" x14ac:dyDescent="0.25">
      <c r="A7" s="17" t="s">
        <v>32</v>
      </c>
      <c r="B7" s="17" t="s">
        <v>33</v>
      </c>
      <c r="C7" s="17" t="s">
        <v>34</v>
      </c>
      <c r="D7" s="17" t="s">
        <v>35</v>
      </c>
      <c r="E7" s="17" t="s">
        <v>36</v>
      </c>
      <c r="F7" s="18">
        <v>45874</v>
      </c>
      <c r="G7" s="18">
        <v>46411</v>
      </c>
      <c r="H7" s="19">
        <v>34110000</v>
      </c>
      <c r="I7" s="19">
        <v>1430000</v>
      </c>
      <c r="J7" s="19">
        <v>36480000</v>
      </c>
      <c r="K7" s="19">
        <v>40821273.188142098</v>
      </c>
      <c r="L7" s="19">
        <v>38626368.637802102</v>
      </c>
      <c r="M7" s="19">
        <v>3556096.5959484898</v>
      </c>
      <c r="N7" s="19">
        <v>3953686.4983377801</v>
      </c>
      <c r="O7" s="17" t="s">
        <v>37</v>
      </c>
      <c r="P7" s="17" t="s">
        <v>38</v>
      </c>
    </row>
    <row r="8" spans="1:16" ht="15" customHeight="1" x14ac:dyDescent="0.25">
      <c r="A8" s="17" t="s">
        <v>39</v>
      </c>
      <c r="B8" s="17" t="s">
        <v>40</v>
      </c>
      <c r="C8" s="17" t="s">
        <v>41</v>
      </c>
      <c r="D8" s="17" t="s">
        <v>42</v>
      </c>
      <c r="E8" s="17" t="s">
        <v>43</v>
      </c>
      <c r="F8" s="18">
        <v>45405</v>
      </c>
      <c r="G8" s="18">
        <v>45961</v>
      </c>
      <c r="H8" s="19">
        <v>22460000</v>
      </c>
      <c r="I8" s="19">
        <v>630000</v>
      </c>
      <c r="J8" s="19">
        <v>24320000</v>
      </c>
      <c r="K8" s="19">
        <v>26063425.295951601</v>
      </c>
      <c r="L8" s="19">
        <v>25024555.056888402</v>
      </c>
      <c r="M8" s="19">
        <v>2593160.15966783</v>
      </c>
      <c r="N8" s="19">
        <v>2841181.7916077902</v>
      </c>
      <c r="O8" s="17" t="s">
        <v>44</v>
      </c>
      <c r="P8" s="17" t="s">
        <v>24</v>
      </c>
    </row>
    <row r="9" spans="1:16" ht="15" customHeight="1" x14ac:dyDescent="0.25">
      <c r="A9" s="17" t="s">
        <v>45</v>
      </c>
      <c r="B9" s="17" t="s">
        <v>46</v>
      </c>
      <c r="C9" s="17" t="s">
        <v>47</v>
      </c>
      <c r="D9" s="17" t="s">
        <v>48</v>
      </c>
      <c r="E9" s="17" t="s">
        <v>49</v>
      </c>
      <c r="F9" s="18">
        <v>45496</v>
      </c>
      <c r="G9" s="18">
        <v>45852</v>
      </c>
      <c r="H9" s="19">
        <v>27540000</v>
      </c>
      <c r="I9" s="19">
        <v>3750000</v>
      </c>
      <c r="J9" s="19">
        <v>30250000</v>
      </c>
      <c r="K9" s="19">
        <v>33855626.479153</v>
      </c>
      <c r="L9" s="19">
        <v>34288709.616503499</v>
      </c>
      <c r="M9" s="19">
        <v>2466361.6725047599</v>
      </c>
      <c r="N9" s="19">
        <v>2482722.07506123</v>
      </c>
      <c r="O9" s="17" t="s">
        <v>23</v>
      </c>
      <c r="P9" s="17" t="s">
        <v>31</v>
      </c>
    </row>
    <row r="10" spans="1:16" ht="15" customHeight="1" x14ac:dyDescent="0.25">
      <c r="A10" s="17" t="s">
        <v>50</v>
      </c>
      <c r="B10" s="17" t="s">
        <v>51</v>
      </c>
      <c r="C10" s="17" t="s">
        <v>52</v>
      </c>
      <c r="D10" s="17" t="s">
        <v>53</v>
      </c>
      <c r="E10" s="17" t="s">
        <v>22</v>
      </c>
      <c r="F10" s="18">
        <v>45945</v>
      </c>
      <c r="G10" s="18">
        <v>46142</v>
      </c>
      <c r="H10" s="19">
        <v>17840000</v>
      </c>
      <c r="I10" s="19">
        <v>1060000</v>
      </c>
      <c r="J10" s="19">
        <v>17490000</v>
      </c>
      <c r="K10" s="19">
        <v>21918904.327021401</v>
      </c>
      <c r="L10" s="19">
        <v>21989015.2543368</v>
      </c>
      <c r="M10" s="19">
        <v>1956666.4538809699</v>
      </c>
      <c r="N10" s="19">
        <v>1619526.76687068</v>
      </c>
      <c r="O10" s="17" t="s">
        <v>30</v>
      </c>
      <c r="P10" s="17" t="s">
        <v>38</v>
      </c>
    </row>
    <row r="11" spans="1:16" ht="15" customHeight="1" x14ac:dyDescent="0.25">
      <c r="A11" s="17" t="s">
        <v>54</v>
      </c>
      <c r="B11" s="17" t="s">
        <v>55</v>
      </c>
      <c r="C11" s="17" t="s">
        <v>56</v>
      </c>
      <c r="D11" s="17" t="s">
        <v>57</v>
      </c>
      <c r="E11" s="17" t="s">
        <v>29</v>
      </c>
      <c r="F11" s="18">
        <v>46018</v>
      </c>
      <c r="G11" s="18">
        <v>46874</v>
      </c>
      <c r="H11" s="19">
        <v>11690000</v>
      </c>
      <c r="I11" s="19">
        <v>1540000</v>
      </c>
      <c r="J11" s="19">
        <v>12170000</v>
      </c>
      <c r="K11" s="19">
        <v>13083911.868607501</v>
      </c>
      <c r="L11" s="19">
        <v>11052860.773017099</v>
      </c>
      <c r="M11" s="19">
        <v>2448715.9620836098</v>
      </c>
      <c r="N11" s="19">
        <v>2215229.5542105902</v>
      </c>
      <c r="O11" s="17" t="s">
        <v>37</v>
      </c>
      <c r="P11" s="17" t="s">
        <v>24</v>
      </c>
    </row>
    <row r="12" spans="1:16" ht="15" customHeight="1" x14ac:dyDescent="0.25">
      <c r="A12" s="17" t="s">
        <v>58</v>
      </c>
      <c r="B12" s="17" t="s">
        <v>59</v>
      </c>
      <c r="C12" s="17" t="s">
        <v>60</v>
      </c>
      <c r="D12" s="17" t="s">
        <v>27</v>
      </c>
      <c r="E12" s="17" t="s">
        <v>36</v>
      </c>
      <c r="F12" s="18">
        <v>46029</v>
      </c>
      <c r="G12" s="18">
        <v>46456</v>
      </c>
      <c r="H12" s="19">
        <v>16360000</v>
      </c>
      <c r="I12" s="19">
        <v>1260000</v>
      </c>
      <c r="J12" s="19">
        <v>16370000</v>
      </c>
      <c r="K12" s="19">
        <v>18270391.768959999</v>
      </c>
      <c r="L12" s="19">
        <v>18724577.3833392</v>
      </c>
      <c r="M12" s="19">
        <v>976615.74502969801</v>
      </c>
      <c r="N12" s="19">
        <v>913794.82737355703</v>
      </c>
      <c r="O12" s="17" t="s">
        <v>44</v>
      </c>
      <c r="P12" s="17" t="s">
        <v>31</v>
      </c>
    </row>
    <row r="13" spans="1:16" ht="15" customHeight="1" x14ac:dyDescent="0.25">
      <c r="A13" s="17" t="s">
        <v>61</v>
      </c>
      <c r="B13" s="17" t="s">
        <v>62</v>
      </c>
      <c r="C13" s="17" t="s">
        <v>20</v>
      </c>
      <c r="D13" s="17" t="s">
        <v>21</v>
      </c>
      <c r="E13" s="17" t="s">
        <v>43</v>
      </c>
      <c r="F13" s="18">
        <v>46028</v>
      </c>
      <c r="G13" s="18">
        <v>46394</v>
      </c>
      <c r="H13" s="19">
        <v>19340000</v>
      </c>
      <c r="I13" s="19">
        <v>1500000</v>
      </c>
      <c r="J13" s="19">
        <v>21430000</v>
      </c>
      <c r="K13" s="19">
        <v>22689717.212528698</v>
      </c>
      <c r="L13" s="19">
        <v>25582766.2299596</v>
      </c>
      <c r="M13" s="19">
        <v>1907747.35849239</v>
      </c>
      <c r="N13" s="19">
        <v>1520321.6150951399</v>
      </c>
      <c r="O13" s="17" t="s">
        <v>23</v>
      </c>
      <c r="P13" s="17" t="s">
        <v>38</v>
      </c>
    </row>
    <row r="14" spans="1:16" ht="15" customHeight="1" x14ac:dyDescent="0.25">
      <c r="A14" s="17" t="s">
        <v>63</v>
      </c>
      <c r="B14" s="17" t="s">
        <v>64</v>
      </c>
      <c r="C14" s="17" t="s">
        <v>27</v>
      </c>
      <c r="D14" s="17" t="s">
        <v>28</v>
      </c>
      <c r="E14" s="17" t="s">
        <v>49</v>
      </c>
      <c r="F14" s="18">
        <v>45619</v>
      </c>
      <c r="G14" s="18">
        <v>45899</v>
      </c>
      <c r="H14" s="19">
        <v>9210000</v>
      </c>
      <c r="I14" s="19">
        <v>300000</v>
      </c>
      <c r="J14" s="19">
        <v>9850000</v>
      </c>
      <c r="K14" s="19">
        <v>10046184.226598701</v>
      </c>
      <c r="L14" s="19">
        <v>10085255.246293001</v>
      </c>
      <c r="M14" s="19">
        <v>1515144.49626583</v>
      </c>
      <c r="N14" s="19">
        <v>1663386.1240063</v>
      </c>
      <c r="O14" s="17" t="s">
        <v>30</v>
      </c>
      <c r="P14" s="17" t="s">
        <v>24</v>
      </c>
    </row>
    <row r="15" spans="1:16" ht="15" customHeight="1" x14ac:dyDescent="0.25">
      <c r="A15" s="17" t="s">
        <v>65</v>
      </c>
      <c r="B15" s="17" t="s">
        <v>66</v>
      </c>
      <c r="C15" s="17" t="s">
        <v>34</v>
      </c>
      <c r="D15" s="17" t="s">
        <v>35</v>
      </c>
      <c r="E15" s="17" t="s">
        <v>22</v>
      </c>
      <c r="F15" s="18">
        <v>45509</v>
      </c>
      <c r="G15" s="18">
        <v>45881</v>
      </c>
      <c r="H15" s="19">
        <v>20670000</v>
      </c>
      <c r="I15" s="19">
        <v>3360000</v>
      </c>
      <c r="J15" s="19">
        <v>25610000</v>
      </c>
      <c r="K15" s="19">
        <v>25230102.7716843</v>
      </c>
      <c r="L15" s="19">
        <v>21668940.899660598</v>
      </c>
      <c r="M15" s="19">
        <v>3686889.0832758099</v>
      </c>
      <c r="N15" s="19">
        <v>3871983.3583234102</v>
      </c>
      <c r="O15" s="17" t="s">
        <v>37</v>
      </c>
      <c r="P15" s="17" t="s">
        <v>31</v>
      </c>
    </row>
    <row r="16" spans="1:16" ht="15" customHeight="1" x14ac:dyDescent="0.25">
      <c r="A16" s="17" t="s">
        <v>67</v>
      </c>
      <c r="B16" s="17" t="s">
        <v>68</v>
      </c>
      <c r="C16" s="17" t="s">
        <v>41</v>
      </c>
      <c r="D16" s="17" t="s">
        <v>42</v>
      </c>
      <c r="E16" s="17" t="s">
        <v>29</v>
      </c>
      <c r="F16" s="18">
        <v>45969</v>
      </c>
      <c r="G16" s="18">
        <v>46674</v>
      </c>
      <c r="H16" s="19">
        <v>26920000</v>
      </c>
      <c r="I16" s="19">
        <v>2850000</v>
      </c>
      <c r="J16" s="19">
        <v>30060000</v>
      </c>
      <c r="K16" s="19">
        <v>29157878.6868614</v>
      </c>
      <c r="L16" s="19">
        <v>30935879.1773289</v>
      </c>
      <c r="M16" s="19">
        <v>5375701.0223685298</v>
      </c>
      <c r="N16" s="19">
        <v>4111287.48586899</v>
      </c>
      <c r="O16" s="17" t="s">
        <v>44</v>
      </c>
      <c r="P16" s="17" t="s">
        <v>38</v>
      </c>
    </row>
    <row r="17" spans="1:16" ht="15" customHeight="1" x14ac:dyDescent="0.25">
      <c r="A17" s="17" t="s">
        <v>69</v>
      </c>
      <c r="B17" s="17" t="s">
        <v>70</v>
      </c>
      <c r="C17" s="17" t="s">
        <v>47</v>
      </c>
      <c r="D17" s="17" t="s">
        <v>48</v>
      </c>
      <c r="E17" s="17" t="s">
        <v>36</v>
      </c>
      <c r="F17" s="18">
        <v>45520</v>
      </c>
      <c r="G17" s="18">
        <v>46102</v>
      </c>
      <c r="H17" s="19">
        <v>10720000</v>
      </c>
      <c r="I17" s="19">
        <v>180000</v>
      </c>
      <c r="J17" s="19">
        <v>11660000</v>
      </c>
      <c r="K17" s="19">
        <v>11321576.7330274</v>
      </c>
      <c r="L17" s="19">
        <v>10572226.4429301</v>
      </c>
      <c r="M17" s="19">
        <v>1468756.48528123</v>
      </c>
      <c r="N17" s="19">
        <v>1461475.3958692499</v>
      </c>
      <c r="O17" s="17" t="s">
        <v>23</v>
      </c>
      <c r="P17" s="17" t="s">
        <v>24</v>
      </c>
    </row>
    <row r="18" spans="1:16" ht="15" customHeight="1" x14ac:dyDescent="0.25">
      <c r="A18" s="17" t="s">
        <v>71</v>
      </c>
      <c r="B18" s="17" t="s">
        <v>72</v>
      </c>
      <c r="C18" s="17" t="s">
        <v>52</v>
      </c>
      <c r="D18" s="17" t="s">
        <v>53</v>
      </c>
      <c r="E18" s="17" t="s">
        <v>43</v>
      </c>
      <c r="F18" s="18">
        <v>45941</v>
      </c>
      <c r="G18" s="18">
        <v>46806</v>
      </c>
      <c r="H18" s="19">
        <v>15280000</v>
      </c>
      <c r="I18" s="19">
        <v>2710000</v>
      </c>
      <c r="J18" s="19">
        <v>17520000</v>
      </c>
      <c r="K18" s="19">
        <v>19607591.1929336</v>
      </c>
      <c r="L18" s="19">
        <v>21320183.2855018</v>
      </c>
      <c r="M18" s="19">
        <v>1798778.69780675</v>
      </c>
      <c r="N18" s="19">
        <v>2036899.2189539999</v>
      </c>
      <c r="O18" s="17" t="s">
        <v>30</v>
      </c>
      <c r="P18" s="17" t="s">
        <v>31</v>
      </c>
    </row>
    <row r="19" spans="1:16" ht="15" customHeight="1" x14ac:dyDescent="0.25">
      <c r="A19" s="17" t="s">
        <v>73</v>
      </c>
      <c r="B19" s="17" t="s">
        <v>74</v>
      </c>
      <c r="C19" s="17" t="s">
        <v>56</v>
      </c>
      <c r="D19" s="17" t="s">
        <v>57</v>
      </c>
      <c r="E19" s="17" t="s">
        <v>49</v>
      </c>
      <c r="F19" s="18">
        <v>45613</v>
      </c>
      <c r="G19" s="18">
        <v>46314</v>
      </c>
      <c r="H19" s="19">
        <v>3450000</v>
      </c>
      <c r="I19" s="19">
        <v>90000</v>
      </c>
      <c r="J19" s="19">
        <v>3400000</v>
      </c>
      <c r="K19" s="19">
        <v>3523896.2233670801</v>
      </c>
      <c r="L19" s="19">
        <v>3284921.6339882901</v>
      </c>
      <c r="M19" s="19">
        <v>471566.98995636898</v>
      </c>
      <c r="N19" s="19">
        <v>477707.47113985399</v>
      </c>
      <c r="O19" s="17" t="s">
        <v>37</v>
      </c>
      <c r="P19" s="17" t="s">
        <v>38</v>
      </c>
    </row>
    <row r="20" spans="1:16" ht="15" customHeight="1" x14ac:dyDescent="0.25">
      <c r="A20" s="17" t="s">
        <v>75</v>
      </c>
      <c r="B20" s="17" t="s">
        <v>76</v>
      </c>
      <c r="C20" s="17" t="s">
        <v>60</v>
      </c>
      <c r="D20" s="17" t="s">
        <v>27</v>
      </c>
      <c r="E20" s="17" t="s">
        <v>22</v>
      </c>
      <c r="F20" s="18">
        <v>45525</v>
      </c>
      <c r="G20" s="18">
        <v>45729</v>
      </c>
      <c r="H20" s="19">
        <v>34060000</v>
      </c>
      <c r="I20" s="19">
        <v>1920000</v>
      </c>
      <c r="J20" s="19">
        <v>38180000</v>
      </c>
      <c r="K20" s="19">
        <v>37389897.7857695</v>
      </c>
      <c r="L20" s="19">
        <v>36833427.268160596</v>
      </c>
      <c r="M20" s="19">
        <v>5480928.7312923502</v>
      </c>
      <c r="N20" s="19">
        <v>5217002.0290431399</v>
      </c>
      <c r="O20" s="17" t="s">
        <v>44</v>
      </c>
      <c r="P20" s="17" t="s">
        <v>24</v>
      </c>
    </row>
    <row r="21" spans="1:16" ht="15" customHeight="1" x14ac:dyDescent="0.25">
      <c r="A21" s="17" t="s">
        <v>77</v>
      </c>
      <c r="B21" s="17" t="s">
        <v>78</v>
      </c>
      <c r="C21" s="17" t="s">
        <v>20</v>
      </c>
      <c r="D21" s="17" t="s">
        <v>21</v>
      </c>
      <c r="E21" s="17" t="s">
        <v>29</v>
      </c>
      <c r="F21" s="18">
        <v>45835</v>
      </c>
      <c r="G21" s="18">
        <v>46722</v>
      </c>
      <c r="H21" s="19">
        <v>33580000</v>
      </c>
      <c r="I21" s="19">
        <v>60000</v>
      </c>
      <c r="J21" s="19">
        <v>35520000</v>
      </c>
      <c r="K21" s="19">
        <v>32261025.285473701</v>
      </c>
      <c r="L21" s="19">
        <v>34699057.837985396</v>
      </c>
      <c r="M21" s="19">
        <v>6416313.5250781504</v>
      </c>
      <c r="N21" s="19">
        <v>6684370.47520045</v>
      </c>
      <c r="O21" s="17" t="s">
        <v>23</v>
      </c>
      <c r="P21" s="17" t="s">
        <v>31</v>
      </c>
    </row>
    <row r="22" spans="1:16" ht="15" customHeight="1" x14ac:dyDescent="0.25">
      <c r="A22" s="17" t="s">
        <v>79</v>
      </c>
      <c r="B22" s="17" t="s">
        <v>80</v>
      </c>
      <c r="C22" s="17" t="s">
        <v>27</v>
      </c>
      <c r="D22" s="17" t="s">
        <v>28</v>
      </c>
      <c r="E22" s="17" t="s">
        <v>36</v>
      </c>
      <c r="F22" s="18">
        <v>46035</v>
      </c>
      <c r="G22" s="18">
        <v>46693</v>
      </c>
      <c r="H22" s="19">
        <v>10950000</v>
      </c>
      <c r="I22" s="19">
        <v>1390000</v>
      </c>
      <c r="J22" s="19">
        <v>12110000</v>
      </c>
      <c r="K22" s="19">
        <v>13817837.614977</v>
      </c>
      <c r="L22" s="19">
        <v>13091440.028385401</v>
      </c>
      <c r="M22" s="19">
        <v>1019163.57028795</v>
      </c>
      <c r="N22" s="19">
        <v>1169191.11104093</v>
      </c>
      <c r="O22" s="17" t="s">
        <v>30</v>
      </c>
      <c r="P22" s="17" t="s">
        <v>38</v>
      </c>
    </row>
    <row r="23" spans="1:16" ht="15" customHeight="1" x14ac:dyDescent="0.25">
      <c r="A23" s="17" t="s">
        <v>81</v>
      </c>
      <c r="B23" s="17" t="s">
        <v>82</v>
      </c>
      <c r="C23" s="17" t="s">
        <v>34</v>
      </c>
      <c r="D23" s="17" t="s">
        <v>35</v>
      </c>
      <c r="E23" s="17" t="s">
        <v>43</v>
      </c>
      <c r="F23" s="18">
        <v>45477</v>
      </c>
      <c r="G23" s="18">
        <v>45945</v>
      </c>
      <c r="H23" s="19">
        <v>23510000</v>
      </c>
      <c r="I23" s="19">
        <v>3220000</v>
      </c>
      <c r="J23" s="19">
        <v>26330000</v>
      </c>
      <c r="K23" s="19">
        <v>31695002.7019994</v>
      </c>
      <c r="L23" s="19">
        <v>25030940.867413402</v>
      </c>
      <c r="M23" s="19">
        <v>3081235.46722196</v>
      </c>
      <c r="N23" s="19">
        <v>3142735.7964737401</v>
      </c>
      <c r="O23" s="17" t="s">
        <v>37</v>
      </c>
      <c r="P23" s="17" t="s">
        <v>24</v>
      </c>
    </row>
    <row r="24" spans="1:16" ht="15" customHeight="1" x14ac:dyDescent="0.25">
      <c r="A24" s="17" t="s">
        <v>83</v>
      </c>
      <c r="B24" s="17" t="s">
        <v>84</v>
      </c>
      <c r="C24" s="17" t="s">
        <v>41</v>
      </c>
      <c r="D24" s="17" t="s">
        <v>42</v>
      </c>
      <c r="E24" s="17" t="s">
        <v>49</v>
      </c>
      <c r="F24" s="18">
        <v>45981</v>
      </c>
      <c r="G24" s="18">
        <v>46854</v>
      </c>
      <c r="H24" s="19">
        <v>47110000</v>
      </c>
      <c r="I24" s="19">
        <v>8260000</v>
      </c>
      <c r="J24" s="19">
        <v>59140000</v>
      </c>
      <c r="K24" s="19">
        <v>57543637.248100802</v>
      </c>
      <c r="L24" s="19">
        <v>53403555.325403102</v>
      </c>
      <c r="M24" s="19">
        <v>4055221.7159439102</v>
      </c>
      <c r="N24" s="19">
        <v>4616808.8640569504</v>
      </c>
      <c r="O24" s="17" t="s">
        <v>44</v>
      </c>
      <c r="P24" s="17" t="s">
        <v>31</v>
      </c>
    </row>
    <row r="25" spans="1:16" ht="15" customHeight="1" x14ac:dyDescent="0.25">
      <c r="A25" s="17" t="s">
        <v>85</v>
      </c>
      <c r="B25" s="17" t="s">
        <v>86</v>
      </c>
      <c r="C25" s="17" t="s">
        <v>47</v>
      </c>
      <c r="D25" s="17" t="s">
        <v>48</v>
      </c>
      <c r="E25" s="17" t="s">
        <v>22</v>
      </c>
      <c r="F25" s="18">
        <v>45841</v>
      </c>
      <c r="G25" s="18">
        <v>46370</v>
      </c>
      <c r="H25" s="19">
        <v>15920000</v>
      </c>
      <c r="I25" s="19">
        <v>2290000</v>
      </c>
      <c r="J25" s="19">
        <v>20030000</v>
      </c>
      <c r="K25" s="19">
        <v>18814519.607955601</v>
      </c>
      <c r="L25" s="19">
        <v>18995950.483585</v>
      </c>
      <c r="M25" s="19">
        <v>2142375.4251247202</v>
      </c>
      <c r="N25" s="19">
        <v>1835218.67813887</v>
      </c>
      <c r="O25" s="17" t="s">
        <v>23</v>
      </c>
      <c r="P25" s="17" t="s">
        <v>38</v>
      </c>
    </row>
    <row r="26" spans="1:16" ht="15" customHeight="1" x14ac:dyDescent="0.25">
      <c r="A26" s="17" t="s">
        <v>87</v>
      </c>
      <c r="B26" s="17" t="s">
        <v>88</v>
      </c>
      <c r="C26" s="17" t="s">
        <v>52</v>
      </c>
      <c r="D26" s="17" t="s">
        <v>53</v>
      </c>
      <c r="E26" s="17" t="s">
        <v>29</v>
      </c>
      <c r="F26" s="18">
        <v>45749</v>
      </c>
      <c r="G26" s="18">
        <v>46008</v>
      </c>
      <c r="H26" s="19">
        <v>28310000</v>
      </c>
      <c r="I26" s="19">
        <v>1340000</v>
      </c>
      <c r="J26" s="19">
        <v>28110000</v>
      </c>
      <c r="K26" s="19">
        <v>35838058.211105697</v>
      </c>
      <c r="L26" s="19">
        <v>32805694.675625801</v>
      </c>
      <c r="M26" s="19">
        <v>3049278.4366832799</v>
      </c>
      <c r="N26" s="19">
        <v>3434039.5506401099</v>
      </c>
      <c r="O26" s="17" t="s">
        <v>30</v>
      </c>
      <c r="P26" s="17" t="s">
        <v>24</v>
      </c>
    </row>
    <row r="27" spans="1:16" ht="15" customHeight="1" x14ac:dyDescent="0.25">
      <c r="A27" s="17" t="s">
        <v>89</v>
      </c>
      <c r="B27" s="17" t="s">
        <v>90</v>
      </c>
      <c r="C27" s="17" t="s">
        <v>56</v>
      </c>
      <c r="D27" s="17" t="s">
        <v>57</v>
      </c>
      <c r="E27" s="17" t="s">
        <v>36</v>
      </c>
      <c r="F27" s="18">
        <v>45488</v>
      </c>
      <c r="G27" s="18">
        <v>45785</v>
      </c>
      <c r="H27" s="19">
        <v>2400000</v>
      </c>
      <c r="I27" s="19">
        <v>270000</v>
      </c>
      <c r="J27" s="19">
        <v>2590000</v>
      </c>
      <c r="K27" s="19">
        <v>2793493.9127121302</v>
      </c>
      <c r="L27" s="19">
        <v>2111409.8130664998</v>
      </c>
      <c r="M27" s="19">
        <v>196009.43910297001</v>
      </c>
      <c r="N27" s="19">
        <v>175832.79751078499</v>
      </c>
      <c r="O27" s="17" t="s">
        <v>37</v>
      </c>
      <c r="P27" s="17" t="s">
        <v>31</v>
      </c>
    </row>
    <row r="28" spans="1:16" ht="15" customHeight="1" x14ac:dyDescent="0.25">
      <c r="A28" s="17" t="s">
        <v>91</v>
      </c>
      <c r="B28" s="17" t="s">
        <v>92</v>
      </c>
      <c r="C28" s="17" t="s">
        <v>60</v>
      </c>
      <c r="D28" s="17" t="s">
        <v>27</v>
      </c>
      <c r="E28" s="17" t="s">
        <v>43</v>
      </c>
      <c r="F28" s="18">
        <v>46057</v>
      </c>
      <c r="G28" s="18">
        <v>46550</v>
      </c>
      <c r="H28" s="19">
        <v>41780000</v>
      </c>
      <c r="I28" s="19">
        <v>2720000</v>
      </c>
      <c r="J28" s="19">
        <v>41960000</v>
      </c>
      <c r="K28" s="19">
        <v>45590018.121537998</v>
      </c>
      <c r="L28" s="19">
        <v>43886077.319524698</v>
      </c>
      <c r="M28" s="19">
        <v>4742894.6487158602</v>
      </c>
      <c r="N28" s="19">
        <v>3797033.7841227502</v>
      </c>
      <c r="O28" s="17" t="s">
        <v>44</v>
      </c>
      <c r="P28" s="17" t="s">
        <v>38</v>
      </c>
    </row>
    <row r="29" spans="1:16" ht="15" customHeight="1" x14ac:dyDescent="0.25">
      <c r="A29" s="17" t="s">
        <v>93</v>
      </c>
      <c r="B29" s="17" t="s">
        <v>94</v>
      </c>
      <c r="C29" s="17" t="s">
        <v>20</v>
      </c>
      <c r="D29" s="17" t="s">
        <v>21</v>
      </c>
      <c r="E29" s="17" t="s">
        <v>49</v>
      </c>
      <c r="F29" s="18">
        <v>45453</v>
      </c>
      <c r="G29" s="18">
        <v>46011</v>
      </c>
      <c r="H29" s="19">
        <v>20850000</v>
      </c>
      <c r="I29" s="19">
        <v>2800000</v>
      </c>
      <c r="J29" s="19">
        <v>25460000</v>
      </c>
      <c r="K29" s="19">
        <v>26387441.1463723</v>
      </c>
      <c r="L29" s="19">
        <v>27377066.594699401</v>
      </c>
      <c r="M29" s="19">
        <v>1948575.31104751</v>
      </c>
      <c r="N29" s="19">
        <v>2078688.9914524001</v>
      </c>
      <c r="O29" s="17" t="s">
        <v>23</v>
      </c>
      <c r="P29" s="17" t="s">
        <v>24</v>
      </c>
    </row>
    <row r="30" spans="1:16" ht="15" customHeight="1" x14ac:dyDescent="0.25">
      <c r="A30" s="17" t="s">
        <v>95</v>
      </c>
      <c r="B30" s="17" t="s">
        <v>96</v>
      </c>
      <c r="C30" s="17" t="s">
        <v>27</v>
      </c>
      <c r="D30" s="17" t="s">
        <v>28</v>
      </c>
      <c r="E30" s="17" t="s">
        <v>22</v>
      </c>
      <c r="F30" s="18">
        <v>45655</v>
      </c>
      <c r="G30" s="18">
        <v>45901</v>
      </c>
      <c r="H30" s="19">
        <v>17120000</v>
      </c>
      <c r="I30" s="19">
        <v>2560000</v>
      </c>
      <c r="J30" s="19">
        <v>18500000</v>
      </c>
      <c r="K30" s="19">
        <v>19416320.8467917</v>
      </c>
      <c r="L30" s="19">
        <v>19924503.379784901</v>
      </c>
      <c r="M30" s="19">
        <v>3363776.60318133</v>
      </c>
      <c r="N30" s="19">
        <v>3549057.4959581899</v>
      </c>
      <c r="O30" s="17" t="s">
        <v>30</v>
      </c>
      <c r="P30" s="17" t="s">
        <v>31</v>
      </c>
    </row>
    <row r="31" spans="1:16" ht="15" customHeight="1" x14ac:dyDescent="0.25">
      <c r="A31" s="17" t="s">
        <v>97</v>
      </c>
      <c r="B31" s="17" t="s">
        <v>98</v>
      </c>
      <c r="C31" s="17" t="s">
        <v>34</v>
      </c>
      <c r="D31" s="17" t="s">
        <v>35</v>
      </c>
      <c r="E31" s="17" t="s">
        <v>29</v>
      </c>
      <c r="F31" s="18">
        <v>45551</v>
      </c>
      <c r="G31" s="18">
        <v>45731</v>
      </c>
      <c r="H31" s="19">
        <v>19930000</v>
      </c>
      <c r="I31" s="19">
        <v>1250000</v>
      </c>
      <c r="J31" s="19">
        <v>21990000</v>
      </c>
      <c r="K31" s="19">
        <v>22771408.474874601</v>
      </c>
      <c r="L31" s="19">
        <v>20392969.374594901</v>
      </c>
      <c r="M31" s="19">
        <v>3754469.2357978402</v>
      </c>
      <c r="N31" s="19">
        <v>4019429.4533263701</v>
      </c>
      <c r="O31" s="17" t="s">
        <v>37</v>
      </c>
      <c r="P31" s="17" t="s">
        <v>38</v>
      </c>
    </row>
    <row r="32" spans="1:16" ht="15" customHeight="1" x14ac:dyDescent="0.25">
      <c r="A32" s="17" t="s">
        <v>99</v>
      </c>
      <c r="B32" s="17" t="s">
        <v>100</v>
      </c>
      <c r="C32" s="17" t="s">
        <v>41</v>
      </c>
      <c r="D32" s="17" t="s">
        <v>42</v>
      </c>
      <c r="E32" s="17" t="s">
        <v>36</v>
      </c>
      <c r="F32" s="18">
        <v>45947</v>
      </c>
      <c r="G32" s="18">
        <v>46286</v>
      </c>
      <c r="H32" s="19">
        <v>43160000</v>
      </c>
      <c r="I32" s="19">
        <v>5760000</v>
      </c>
      <c r="J32" s="19">
        <v>49490000</v>
      </c>
      <c r="K32" s="19">
        <v>52583471.831497297</v>
      </c>
      <c r="L32" s="19">
        <v>48212796.500393704</v>
      </c>
      <c r="M32" s="19">
        <v>5463415.4394290298</v>
      </c>
      <c r="N32" s="19">
        <v>4978104.2459024303</v>
      </c>
      <c r="O32" s="17" t="s">
        <v>44</v>
      </c>
      <c r="P32" s="17" t="s">
        <v>24</v>
      </c>
    </row>
    <row r="33" spans="1:16" ht="15" customHeight="1" x14ac:dyDescent="0.25">
      <c r="A33" s="17" t="s">
        <v>101</v>
      </c>
      <c r="B33" s="17" t="s">
        <v>102</v>
      </c>
      <c r="C33" s="17" t="s">
        <v>47</v>
      </c>
      <c r="D33" s="17" t="s">
        <v>48</v>
      </c>
      <c r="E33" s="17" t="s">
        <v>43</v>
      </c>
      <c r="F33" s="18">
        <v>45427</v>
      </c>
      <c r="G33" s="18">
        <v>46007</v>
      </c>
      <c r="H33" s="19">
        <v>22850000</v>
      </c>
      <c r="I33" s="19">
        <v>3690000</v>
      </c>
      <c r="J33" s="19">
        <v>29130000</v>
      </c>
      <c r="K33" s="19">
        <v>25848999.6125382</v>
      </c>
      <c r="L33" s="19">
        <v>23410761.3183139</v>
      </c>
      <c r="M33" s="19">
        <v>4699165.1366537297</v>
      </c>
      <c r="N33" s="19">
        <v>4882840.7856707098</v>
      </c>
      <c r="O33" s="17" t="s">
        <v>23</v>
      </c>
      <c r="P33" s="17" t="s">
        <v>31</v>
      </c>
    </row>
    <row r="34" spans="1:16" ht="15" customHeight="1" x14ac:dyDescent="0.25">
      <c r="A34" s="17" t="s">
        <v>103</v>
      </c>
      <c r="B34" s="17" t="s">
        <v>104</v>
      </c>
      <c r="C34" s="17" t="s">
        <v>52</v>
      </c>
      <c r="D34" s="17" t="s">
        <v>53</v>
      </c>
      <c r="E34" s="17" t="s">
        <v>49</v>
      </c>
      <c r="F34" s="18">
        <v>45438</v>
      </c>
      <c r="G34" s="18">
        <v>45902</v>
      </c>
      <c r="H34" s="19">
        <v>24870000</v>
      </c>
      <c r="I34" s="19">
        <v>360000</v>
      </c>
      <c r="J34" s="19">
        <v>24620000</v>
      </c>
      <c r="K34" s="19">
        <v>28066068.279020701</v>
      </c>
      <c r="L34" s="19">
        <v>31470841.580309499</v>
      </c>
      <c r="M34" s="19">
        <v>3805130.5248047002</v>
      </c>
      <c r="N34" s="19">
        <v>3531946.0396255399</v>
      </c>
      <c r="O34" s="17" t="s">
        <v>30</v>
      </c>
      <c r="P34" s="17" t="s">
        <v>38</v>
      </c>
    </row>
    <row r="35" spans="1:16" ht="15" customHeight="1" x14ac:dyDescent="0.25">
      <c r="A35" s="17" t="s">
        <v>105</v>
      </c>
      <c r="B35" s="17" t="s">
        <v>106</v>
      </c>
      <c r="C35" s="17" t="s">
        <v>56</v>
      </c>
      <c r="D35" s="17" t="s">
        <v>57</v>
      </c>
      <c r="E35" s="17" t="s">
        <v>22</v>
      </c>
      <c r="F35" s="18">
        <v>46010</v>
      </c>
      <c r="G35" s="18">
        <v>46566</v>
      </c>
      <c r="H35" s="19">
        <v>9840000</v>
      </c>
      <c r="I35" s="19">
        <v>1090000</v>
      </c>
      <c r="J35" s="19">
        <v>10180000</v>
      </c>
      <c r="K35" s="19">
        <v>11596053.316702699</v>
      </c>
      <c r="L35" s="19">
        <v>10442772.782189099</v>
      </c>
      <c r="M35" s="19">
        <v>1456221.18494314</v>
      </c>
      <c r="N35" s="19">
        <v>1663932.35726319</v>
      </c>
      <c r="O35" s="17" t="s">
        <v>37</v>
      </c>
      <c r="P35" s="17" t="s">
        <v>24</v>
      </c>
    </row>
    <row r="36" spans="1:16" ht="15" customHeight="1" x14ac:dyDescent="0.25">
      <c r="A36" s="17" t="s">
        <v>107</v>
      </c>
      <c r="B36" s="17" t="s">
        <v>108</v>
      </c>
      <c r="C36" s="17" t="s">
        <v>60</v>
      </c>
      <c r="D36" s="17" t="s">
        <v>27</v>
      </c>
      <c r="E36" s="17" t="s">
        <v>29</v>
      </c>
      <c r="F36" s="18">
        <v>45447</v>
      </c>
      <c r="G36" s="18">
        <v>46180</v>
      </c>
      <c r="H36" s="19">
        <v>18820000</v>
      </c>
      <c r="I36" s="19">
        <v>1030000</v>
      </c>
      <c r="J36" s="19">
        <v>21220000</v>
      </c>
      <c r="K36" s="19">
        <v>20275713.536594398</v>
      </c>
      <c r="L36" s="19">
        <v>18160005.800166201</v>
      </c>
      <c r="M36" s="19">
        <v>1983636.34514288</v>
      </c>
      <c r="N36" s="19">
        <v>1588968.9691941701</v>
      </c>
      <c r="O36" s="17" t="s">
        <v>44</v>
      </c>
      <c r="P36" s="17" t="s">
        <v>31</v>
      </c>
    </row>
    <row r="37" spans="1:16" ht="15" customHeight="1" x14ac:dyDescent="0.25">
      <c r="A37" s="17" t="s">
        <v>109</v>
      </c>
      <c r="B37" s="17" t="s">
        <v>110</v>
      </c>
      <c r="C37" s="17" t="s">
        <v>20</v>
      </c>
      <c r="D37" s="17" t="s">
        <v>21</v>
      </c>
      <c r="E37" s="17" t="s">
        <v>36</v>
      </c>
      <c r="F37" s="18">
        <v>45766</v>
      </c>
      <c r="G37" s="18">
        <v>46321</v>
      </c>
      <c r="H37" s="19">
        <v>13470000</v>
      </c>
      <c r="I37" s="19">
        <v>2340000</v>
      </c>
      <c r="J37" s="19">
        <v>15640000</v>
      </c>
      <c r="K37" s="19">
        <v>16675160.4116299</v>
      </c>
      <c r="L37" s="19">
        <v>17865898.113400999</v>
      </c>
      <c r="M37" s="19">
        <v>2828919.7290386902</v>
      </c>
      <c r="N37" s="19">
        <v>3075253.6324733002</v>
      </c>
      <c r="O37" s="17" t="s">
        <v>23</v>
      </c>
      <c r="P37" s="17" t="s">
        <v>38</v>
      </c>
    </row>
    <row r="38" spans="1:16" ht="15" customHeight="1" x14ac:dyDescent="0.25">
      <c r="A38" s="17" t="s">
        <v>111</v>
      </c>
      <c r="B38" s="17" t="s">
        <v>112</v>
      </c>
      <c r="C38" s="17" t="s">
        <v>27</v>
      </c>
      <c r="D38" s="17" t="s">
        <v>28</v>
      </c>
      <c r="E38" s="17" t="s">
        <v>43</v>
      </c>
      <c r="F38" s="18">
        <v>45794</v>
      </c>
      <c r="G38" s="18">
        <v>46665</v>
      </c>
      <c r="H38" s="19">
        <v>19940000</v>
      </c>
      <c r="I38" s="19">
        <v>590000</v>
      </c>
      <c r="J38" s="19">
        <v>20700000</v>
      </c>
      <c r="K38" s="19">
        <v>21028647.862571299</v>
      </c>
      <c r="L38" s="19">
        <v>20197456.4738901</v>
      </c>
      <c r="M38" s="19">
        <v>4465981.32461055</v>
      </c>
      <c r="N38" s="19">
        <v>4195072.2557568504</v>
      </c>
      <c r="O38" s="17" t="s">
        <v>30</v>
      </c>
      <c r="P38" s="17" t="s">
        <v>24</v>
      </c>
    </row>
    <row r="39" spans="1:16" ht="15" customHeight="1" x14ac:dyDescent="0.25">
      <c r="A39" s="17" t="s">
        <v>113</v>
      </c>
      <c r="B39" s="17" t="s">
        <v>114</v>
      </c>
      <c r="C39" s="17" t="s">
        <v>34</v>
      </c>
      <c r="D39" s="17" t="s">
        <v>35</v>
      </c>
      <c r="E39" s="17" t="s">
        <v>49</v>
      </c>
      <c r="F39" s="18">
        <v>46000</v>
      </c>
      <c r="G39" s="18">
        <v>46746</v>
      </c>
      <c r="H39" s="19">
        <v>17950000</v>
      </c>
      <c r="I39" s="19">
        <v>780000</v>
      </c>
      <c r="J39" s="19">
        <v>19710000</v>
      </c>
      <c r="K39" s="19">
        <v>20663005.927824002</v>
      </c>
      <c r="L39" s="19">
        <v>17635870.695671599</v>
      </c>
      <c r="M39" s="19">
        <v>1882031.7587190301</v>
      </c>
      <c r="N39" s="19">
        <v>1786393.55990434</v>
      </c>
      <c r="O39" s="17" t="s">
        <v>37</v>
      </c>
      <c r="P39" s="17" t="s">
        <v>31</v>
      </c>
    </row>
    <row r="40" spans="1:16" ht="15" customHeight="1" x14ac:dyDescent="0.25">
      <c r="A40" s="17" t="s">
        <v>115</v>
      </c>
      <c r="B40" s="17" t="s">
        <v>116</v>
      </c>
      <c r="C40" s="17" t="s">
        <v>41</v>
      </c>
      <c r="D40" s="17" t="s">
        <v>42</v>
      </c>
      <c r="E40" s="17" t="s">
        <v>22</v>
      </c>
      <c r="F40" s="18">
        <v>45592</v>
      </c>
      <c r="G40" s="18">
        <v>46342</v>
      </c>
      <c r="H40" s="19">
        <v>30470000</v>
      </c>
      <c r="I40" s="19">
        <v>3740000</v>
      </c>
      <c r="J40" s="19">
        <v>34970000</v>
      </c>
      <c r="K40" s="19">
        <v>37734849.368551902</v>
      </c>
      <c r="L40" s="19">
        <v>36456320.112485997</v>
      </c>
      <c r="M40" s="19">
        <v>3259350.32002912</v>
      </c>
      <c r="N40" s="19">
        <v>3307336.0439741998</v>
      </c>
      <c r="O40" s="17" t="s">
        <v>44</v>
      </c>
      <c r="P40" s="17" t="s">
        <v>38</v>
      </c>
    </row>
    <row r="41" spans="1:16" ht="15" customHeight="1" x14ac:dyDescent="0.25">
      <c r="A41" s="17" t="s">
        <v>117</v>
      </c>
      <c r="B41" s="17" t="s">
        <v>118</v>
      </c>
      <c r="C41" s="17" t="s">
        <v>47</v>
      </c>
      <c r="D41" s="17" t="s">
        <v>48</v>
      </c>
      <c r="E41" s="17" t="s">
        <v>29</v>
      </c>
      <c r="F41" s="18">
        <v>45554</v>
      </c>
      <c r="G41" s="18">
        <v>46282</v>
      </c>
      <c r="H41" s="19">
        <v>11270000</v>
      </c>
      <c r="I41" s="19">
        <v>600000</v>
      </c>
      <c r="J41" s="19">
        <v>11780000</v>
      </c>
      <c r="K41" s="19">
        <v>12982980.520477399</v>
      </c>
      <c r="L41" s="19">
        <v>12664544.494498</v>
      </c>
      <c r="M41" s="19">
        <v>1130416.05090546</v>
      </c>
      <c r="N41" s="19">
        <v>1036472.4950767501</v>
      </c>
      <c r="O41" s="17" t="s">
        <v>23</v>
      </c>
      <c r="P41" s="17" t="s">
        <v>24</v>
      </c>
    </row>
    <row r="42" spans="1:16" ht="15" customHeight="1" x14ac:dyDescent="0.25">
      <c r="A42" s="17" t="s">
        <v>119</v>
      </c>
      <c r="B42" s="17" t="s">
        <v>120</v>
      </c>
      <c r="C42" s="17" t="s">
        <v>52</v>
      </c>
      <c r="D42" s="17" t="s">
        <v>53</v>
      </c>
      <c r="E42" s="17" t="s">
        <v>36</v>
      </c>
      <c r="F42" s="18">
        <v>46007</v>
      </c>
      <c r="G42" s="18">
        <v>46740</v>
      </c>
      <c r="H42" s="19">
        <v>27270000</v>
      </c>
      <c r="I42" s="19">
        <v>4600000</v>
      </c>
      <c r="J42" s="19">
        <v>32240000</v>
      </c>
      <c r="K42" s="19">
        <v>34080915.121810302</v>
      </c>
      <c r="L42" s="19">
        <v>30088828.2714632</v>
      </c>
      <c r="M42" s="19">
        <v>3982712.0504586999</v>
      </c>
      <c r="N42" s="19">
        <v>3931583.13186407</v>
      </c>
      <c r="O42" s="17" t="s">
        <v>30</v>
      </c>
      <c r="P42" s="17" t="s">
        <v>31</v>
      </c>
    </row>
    <row r="43" spans="1:16" ht="15" customHeight="1" x14ac:dyDescent="0.25">
      <c r="A43" s="17" t="s">
        <v>121</v>
      </c>
      <c r="B43" s="17" t="s">
        <v>122</v>
      </c>
      <c r="C43" s="17" t="s">
        <v>56</v>
      </c>
      <c r="D43" s="17" t="s">
        <v>57</v>
      </c>
      <c r="E43" s="17" t="s">
        <v>43</v>
      </c>
      <c r="F43" s="18">
        <v>45511</v>
      </c>
      <c r="G43" s="18">
        <v>45986</v>
      </c>
      <c r="H43" s="19">
        <v>10840000</v>
      </c>
      <c r="I43" s="19">
        <v>860000</v>
      </c>
      <c r="J43" s="19">
        <v>11920000</v>
      </c>
      <c r="K43" s="19">
        <v>10910348.9850381</v>
      </c>
      <c r="L43" s="19">
        <v>9368237.7257886697</v>
      </c>
      <c r="M43" s="19">
        <v>2243593.9232177199</v>
      </c>
      <c r="N43" s="19">
        <v>1730147.72915352</v>
      </c>
      <c r="O43" s="17" t="s">
        <v>37</v>
      </c>
      <c r="P43" s="17" t="s">
        <v>38</v>
      </c>
    </row>
    <row r="44" spans="1:16" ht="15" customHeight="1" x14ac:dyDescent="0.25">
      <c r="A44" s="17" t="s">
        <v>123</v>
      </c>
      <c r="B44" s="17" t="s">
        <v>124</v>
      </c>
      <c r="C44" s="17" t="s">
        <v>60</v>
      </c>
      <c r="D44" s="17" t="s">
        <v>27</v>
      </c>
      <c r="E44" s="17" t="s">
        <v>49</v>
      </c>
      <c r="F44" s="18">
        <v>46052</v>
      </c>
      <c r="G44" s="18">
        <v>46657</v>
      </c>
      <c r="H44" s="19">
        <v>38460000</v>
      </c>
      <c r="I44" s="19">
        <v>4470000</v>
      </c>
      <c r="J44" s="19">
        <v>42740000</v>
      </c>
      <c r="K44" s="19">
        <v>46830217.1534684</v>
      </c>
      <c r="L44" s="19">
        <v>46377135.482215904</v>
      </c>
      <c r="M44" s="19">
        <v>4414640.70927817</v>
      </c>
      <c r="N44" s="19">
        <v>4630096.1071302202</v>
      </c>
      <c r="O44" s="17" t="s">
        <v>44</v>
      </c>
      <c r="P44" s="17" t="s">
        <v>24</v>
      </c>
    </row>
    <row r="45" spans="1:16" ht="15" customHeight="1" x14ac:dyDescent="0.25">
      <c r="A45" s="17" t="s">
        <v>125</v>
      </c>
      <c r="B45" s="17" t="s">
        <v>19</v>
      </c>
      <c r="C45" s="17" t="s">
        <v>20</v>
      </c>
      <c r="D45" s="17" t="s">
        <v>21</v>
      </c>
      <c r="E45" s="17" t="s">
        <v>22</v>
      </c>
      <c r="F45" s="18">
        <v>45594</v>
      </c>
      <c r="G45" s="18">
        <v>45822</v>
      </c>
      <c r="H45" s="19">
        <v>34970000</v>
      </c>
      <c r="I45" s="19">
        <v>2950000</v>
      </c>
      <c r="J45" s="19">
        <v>35160000</v>
      </c>
      <c r="K45" s="19">
        <v>41665591.252777301</v>
      </c>
      <c r="L45" s="19">
        <v>39870669.700076997</v>
      </c>
      <c r="M45" s="19">
        <v>2845083.2102813302</v>
      </c>
      <c r="N45" s="19">
        <v>2709280.88931019</v>
      </c>
      <c r="O45" s="17" t="s">
        <v>23</v>
      </c>
      <c r="P45" s="17" t="s">
        <v>31</v>
      </c>
    </row>
    <row r="46" spans="1:16" ht="15" customHeight="1" x14ac:dyDescent="0.25">
      <c r="A46" s="17" t="s">
        <v>126</v>
      </c>
      <c r="B46" s="17" t="s">
        <v>26</v>
      </c>
      <c r="C46" s="17" t="s">
        <v>27</v>
      </c>
      <c r="D46" s="17" t="s">
        <v>28</v>
      </c>
      <c r="E46" s="17" t="s">
        <v>29</v>
      </c>
      <c r="F46" s="18">
        <v>45714</v>
      </c>
      <c r="G46" s="18">
        <v>46379</v>
      </c>
      <c r="H46" s="19">
        <v>6510000</v>
      </c>
      <c r="I46" s="19">
        <v>1040000</v>
      </c>
      <c r="J46" s="19">
        <v>8020000</v>
      </c>
      <c r="K46" s="19">
        <v>7996806.1038059304</v>
      </c>
      <c r="L46" s="19">
        <v>8258356.0461445898</v>
      </c>
      <c r="M46" s="19">
        <v>1136458.7773798599</v>
      </c>
      <c r="N46" s="19">
        <v>928201.94010888203</v>
      </c>
      <c r="O46" s="17" t="s">
        <v>30</v>
      </c>
      <c r="P46" s="17" t="s">
        <v>38</v>
      </c>
    </row>
    <row r="47" spans="1:16" ht="15" customHeight="1" x14ac:dyDescent="0.25">
      <c r="A47" s="17" t="s">
        <v>127</v>
      </c>
      <c r="B47" s="17" t="s">
        <v>33</v>
      </c>
      <c r="C47" s="17" t="s">
        <v>34</v>
      </c>
      <c r="D47" s="17" t="s">
        <v>35</v>
      </c>
      <c r="E47" s="17" t="s">
        <v>36</v>
      </c>
      <c r="F47" s="18">
        <v>45927</v>
      </c>
      <c r="G47" s="18">
        <v>46255</v>
      </c>
      <c r="H47" s="19">
        <v>26220000</v>
      </c>
      <c r="I47" s="19">
        <v>4060000</v>
      </c>
      <c r="J47" s="19">
        <v>27900000</v>
      </c>
      <c r="K47" s="19">
        <v>34890365.351291798</v>
      </c>
      <c r="L47" s="19">
        <v>28262020.175611898</v>
      </c>
      <c r="M47" s="19">
        <v>4131830.4328336101</v>
      </c>
      <c r="N47" s="19">
        <v>3628185.7592732999</v>
      </c>
      <c r="O47" s="17" t="s">
        <v>37</v>
      </c>
      <c r="P47" s="17" t="s">
        <v>24</v>
      </c>
    </row>
    <row r="48" spans="1:16" ht="15" customHeight="1" x14ac:dyDescent="0.25">
      <c r="A48" s="17" t="s">
        <v>128</v>
      </c>
      <c r="B48" s="17" t="s">
        <v>40</v>
      </c>
      <c r="C48" s="17" t="s">
        <v>41</v>
      </c>
      <c r="D48" s="17" t="s">
        <v>42</v>
      </c>
      <c r="E48" s="17" t="s">
        <v>43</v>
      </c>
      <c r="F48" s="18">
        <v>45407</v>
      </c>
      <c r="G48" s="18">
        <v>46142</v>
      </c>
      <c r="H48" s="19">
        <v>25120000</v>
      </c>
      <c r="I48" s="19">
        <v>3980000</v>
      </c>
      <c r="J48" s="19">
        <v>31600000</v>
      </c>
      <c r="K48" s="19">
        <v>27295551.015412901</v>
      </c>
      <c r="L48" s="19">
        <v>24946431.4100237</v>
      </c>
      <c r="M48" s="19">
        <v>6289130.1924639503</v>
      </c>
      <c r="N48" s="19">
        <v>4925291.6005744804</v>
      </c>
      <c r="O48" s="17" t="s">
        <v>44</v>
      </c>
      <c r="P48" s="17" t="s">
        <v>31</v>
      </c>
    </row>
    <row r="49" spans="1:16" ht="15" customHeight="1" x14ac:dyDescent="0.25">
      <c r="A49" s="17" t="s">
        <v>129</v>
      </c>
      <c r="B49" s="17" t="s">
        <v>46</v>
      </c>
      <c r="C49" s="17" t="s">
        <v>47</v>
      </c>
      <c r="D49" s="17" t="s">
        <v>48</v>
      </c>
      <c r="E49" s="17" t="s">
        <v>49</v>
      </c>
      <c r="F49" s="18">
        <v>45590</v>
      </c>
      <c r="G49" s="18">
        <v>46438</v>
      </c>
      <c r="H49" s="19">
        <v>31270000</v>
      </c>
      <c r="I49" s="19">
        <v>2580000</v>
      </c>
      <c r="J49" s="19">
        <v>32910000</v>
      </c>
      <c r="K49" s="19">
        <v>34777860.597658001</v>
      </c>
      <c r="L49" s="19">
        <v>34033548.3839937</v>
      </c>
      <c r="M49" s="19">
        <v>5538107.4529626099</v>
      </c>
      <c r="N49" s="19">
        <v>5365217.4958906099</v>
      </c>
      <c r="O49" s="17" t="s">
        <v>23</v>
      </c>
      <c r="P49" s="17" t="s">
        <v>38</v>
      </c>
    </row>
    <row r="50" spans="1:16" ht="15" customHeight="1" x14ac:dyDescent="0.25">
      <c r="A50" s="17" t="s">
        <v>130</v>
      </c>
      <c r="B50" s="17" t="s">
        <v>51</v>
      </c>
      <c r="C50" s="17" t="s">
        <v>52</v>
      </c>
      <c r="D50" s="17" t="s">
        <v>53</v>
      </c>
      <c r="E50" s="17" t="s">
        <v>22</v>
      </c>
      <c r="F50" s="18">
        <v>46046</v>
      </c>
      <c r="G50" s="18">
        <v>46564</v>
      </c>
      <c r="H50" s="19">
        <v>11910000</v>
      </c>
      <c r="I50" s="19">
        <v>1810000</v>
      </c>
      <c r="J50" s="19">
        <v>13580000</v>
      </c>
      <c r="K50" s="19">
        <v>15176139.392244</v>
      </c>
      <c r="L50" s="19">
        <v>15890244.370139999</v>
      </c>
      <c r="M50" s="19">
        <v>2456112.0002653599</v>
      </c>
      <c r="N50" s="19">
        <v>2392969.4752419498</v>
      </c>
      <c r="O50" s="17" t="s">
        <v>30</v>
      </c>
      <c r="P50" s="17" t="s">
        <v>24</v>
      </c>
    </row>
    <row r="51" spans="1:16" ht="15" customHeight="1" x14ac:dyDescent="0.25">
      <c r="A51" s="17" t="s">
        <v>131</v>
      </c>
      <c r="B51" s="17" t="s">
        <v>55</v>
      </c>
      <c r="C51" s="17" t="s">
        <v>56</v>
      </c>
      <c r="D51" s="17" t="s">
        <v>57</v>
      </c>
      <c r="E51" s="17" t="s">
        <v>29</v>
      </c>
      <c r="F51" s="18">
        <v>45818</v>
      </c>
      <c r="G51" s="18">
        <v>46390</v>
      </c>
      <c r="H51" s="19">
        <v>2410000</v>
      </c>
      <c r="I51" s="19">
        <v>180000</v>
      </c>
      <c r="J51" s="19">
        <v>2480000</v>
      </c>
      <c r="K51" s="19">
        <v>2474760.7825453798</v>
      </c>
      <c r="L51" s="19">
        <v>2223516.2246265602</v>
      </c>
      <c r="M51" s="19">
        <v>376300.18113203702</v>
      </c>
      <c r="N51" s="19">
        <v>373631.995101451</v>
      </c>
      <c r="O51" s="17" t="s">
        <v>37</v>
      </c>
      <c r="P51" s="17" t="s">
        <v>31</v>
      </c>
    </row>
    <row r="52" spans="1:16" ht="15" customHeight="1" x14ac:dyDescent="0.25">
      <c r="A52" s="17" t="s">
        <v>132</v>
      </c>
      <c r="B52" s="17" t="s">
        <v>59</v>
      </c>
      <c r="C52" s="17" t="s">
        <v>60</v>
      </c>
      <c r="D52" s="17" t="s">
        <v>27</v>
      </c>
      <c r="E52" s="17" t="s">
        <v>36</v>
      </c>
      <c r="F52" s="18">
        <v>45833</v>
      </c>
      <c r="G52" s="18">
        <v>46596</v>
      </c>
      <c r="H52" s="19">
        <v>16510000</v>
      </c>
      <c r="I52" s="19">
        <v>1940000</v>
      </c>
      <c r="J52" s="19">
        <v>16980000</v>
      </c>
      <c r="K52" s="19">
        <v>18401439.984280299</v>
      </c>
      <c r="L52" s="19">
        <v>18366951.0274381</v>
      </c>
      <c r="M52" s="19">
        <v>2603594.4267803398</v>
      </c>
      <c r="N52" s="19">
        <v>2462149.2740477999</v>
      </c>
      <c r="O52" s="17" t="s">
        <v>44</v>
      </c>
      <c r="P52" s="17" t="s">
        <v>38</v>
      </c>
    </row>
    <row r="53" spans="1:16" ht="15" customHeight="1" x14ac:dyDescent="0.25">
      <c r="A53" s="17" t="s">
        <v>133</v>
      </c>
      <c r="B53" s="17" t="s">
        <v>62</v>
      </c>
      <c r="C53" s="17" t="s">
        <v>20</v>
      </c>
      <c r="D53" s="17" t="s">
        <v>21</v>
      </c>
      <c r="E53" s="17" t="s">
        <v>43</v>
      </c>
      <c r="F53" s="18">
        <v>45461</v>
      </c>
      <c r="G53" s="18">
        <v>46193</v>
      </c>
      <c r="H53" s="19">
        <v>14500000</v>
      </c>
      <c r="I53" s="19">
        <v>1970000</v>
      </c>
      <c r="J53" s="19">
        <v>15790000</v>
      </c>
      <c r="K53" s="19">
        <v>17683346.458453</v>
      </c>
      <c r="L53" s="19">
        <v>17592369.661671098</v>
      </c>
      <c r="M53" s="19">
        <v>2776944.6960769901</v>
      </c>
      <c r="N53" s="19">
        <v>2585402.38025703</v>
      </c>
      <c r="O53" s="17" t="s">
        <v>23</v>
      </c>
      <c r="P53" s="17" t="s">
        <v>24</v>
      </c>
    </row>
    <row r="54" spans="1:16" ht="15" customHeight="1" x14ac:dyDescent="0.25">
      <c r="A54" s="17" t="s">
        <v>134</v>
      </c>
      <c r="B54" s="17" t="s">
        <v>64</v>
      </c>
      <c r="C54" s="17" t="s">
        <v>27</v>
      </c>
      <c r="D54" s="17" t="s">
        <v>28</v>
      </c>
      <c r="E54" s="17" t="s">
        <v>49</v>
      </c>
      <c r="F54" s="18">
        <v>45471</v>
      </c>
      <c r="G54" s="18">
        <v>45759</v>
      </c>
      <c r="H54" s="19">
        <v>11380000</v>
      </c>
      <c r="I54" s="19">
        <v>740000</v>
      </c>
      <c r="J54" s="19">
        <v>12540000</v>
      </c>
      <c r="K54" s="19">
        <v>13682910.991017099</v>
      </c>
      <c r="L54" s="19">
        <v>12313680.8466591</v>
      </c>
      <c r="M54" s="19">
        <v>538843.76596394996</v>
      </c>
      <c r="N54" s="19">
        <v>428524.75658903702</v>
      </c>
      <c r="O54" s="17" t="s">
        <v>30</v>
      </c>
      <c r="P54" s="17" t="s">
        <v>31</v>
      </c>
    </row>
    <row r="55" spans="1:16" ht="15" customHeight="1" x14ac:dyDescent="0.25">
      <c r="A55" s="17" t="s">
        <v>135</v>
      </c>
      <c r="B55" s="17" t="s">
        <v>66</v>
      </c>
      <c r="C55" s="17" t="s">
        <v>34</v>
      </c>
      <c r="D55" s="17" t="s">
        <v>35</v>
      </c>
      <c r="E55" s="17" t="s">
        <v>22</v>
      </c>
      <c r="F55" s="18">
        <v>45487</v>
      </c>
      <c r="G55" s="18">
        <v>46269</v>
      </c>
      <c r="H55" s="19">
        <v>21310000</v>
      </c>
      <c r="I55" s="19">
        <v>2250000</v>
      </c>
      <c r="J55" s="19">
        <v>22910000</v>
      </c>
      <c r="K55" s="19">
        <v>28967702.046781398</v>
      </c>
      <c r="L55" s="19">
        <v>25973075.057066102</v>
      </c>
      <c r="M55" s="19">
        <v>1055599.77424001</v>
      </c>
      <c r="N55" s="19">
        <v>911194.66243721102</v>
      </c>
      <c r="O55" s="17" t="s">
        <v>37</v>
      </c>
      <c r="P55" s="17" t="s">
        <v>38</v>
      </c>
    </row>
    <row r="56" spans="1:16" ht="15" customHeight="1" x14ac:dyDescent="0.25">
      <c r="A56" s="17" t="s">
        <v>136</v>
      </c>
      <c r="B56" s="17" t="s">
        <v>68</v>
      </c>
      <c r="C56" s="17" t="s">
        <v>41</v>
      </c>
      <c r="D56" s="17" t="s">
        <v>42</v>
      </c>
      <c r="E56" s="17" t="s">
        <v>29</v>
      </c>
      <c r="F56" s="18">
        <v>46070</v>
      </c>
      <c r="G56" s="18">
        <v>46335</v>
      </c>
      <c r="H56" s="19">
        <v>45240000</v>
      </c>
      <c r="I56" s="19">
        <v>2000000</v>
      </c>
      <c r="J56" s="19">
        <v>47560000</v>
      </c>
      <c r="K56" s="19">
        <v>51332430.504945002</v>
      </c>
      <c r="L56" s="19">
        <v>50393556.315263301</v>
      </c>
      <c r="M56" s="19">
        <v>6392297.3239452904</v>
      </c>
      <c r="N56" s="19">
        <v>5981874.4981169896</v>
      </c>
      <c r="O56" s="17" t="s">
        <v>44</v>
      </c>
      <c r="P56" s="17" t="s">
        <v>24</v>
      </c>
    </row>
    <row r="57" spans="1:16" ht="15" customHeight="1" x14ac:dyDescent="0.25">
      <c r="A57" s="17" t="s">
        <v>137</v>
      </c>
      <c r="B57" s="17" t="s">
        <v>70</v>
      </c>
      <c r="C57" s="17" t="s">
        <v>47</v>
      </c>
      <c r="D57" s="17" t="s">
        <v>48</v>
      </c>
      <c r="E57" s="17" t="s">
        <v>36</v>
      </c>
      <c r="F57" s="18">
        <v>45654</v>
      </c>
      <c r="G57" s="18">
        <v>46386</v>
      </c>
      <c r="H57" s="19">
        <v>26170000</v>
      </c>
      <c r="I57" s="19">
        <v>3890000</v>
      </c>
      <c r="J57" s="19">
        <v>29880000</v>
      </c>
      <c r="K57" s="19">
        <v>27143638.550695699</v>
      </c>
      <c r="L57" s="19">
        <v>31239025.254588898</v>
      </c>
      <c r="M57" s="19">
        <v>6087482.6932627596</v>
      </c>
      <c r="N57" s="19">
        <v>4856777.95445571</v>
      </c>
      <c r="O57" s="17" t="s">
        <v>23</v>
      </c>
      <c r="P57" s="17" t="s">
        <v>31</v>
      </c>
    </row>
    <row r="58" spans="1:16" ht="15" customHeight="1" x14ac:dyDescent="0.25">
      <c r="A58" s="17" t="s">
        <v>138</v>
      </c>
      <c r="B58" s="17" t="s">
        <v>72</v>
      </c>
      <c r="C58" s="17" t="s">
        <v>52</v>
      </c>
      <c r="D58" s="17" t="s">
        <v>53</v>
      </c>
      <c r="E58" s="17" t="s">
        <v>43</v>
      </c>
      <c r="F58" s="18">
        <v>45830</v>
      </c>
      <c r="G58" s="18">
        <v>46204</v>
      </c>
      <c r="H58" s="19">
        <v>29720000</v>
      </c>
      <c r="I58" s="19">
        <v>1850000</v>
      </c>
      <c r="J58" s="19">
        <v>29580000</v>
      </c>
      <c r="K58" s="19">
        <v>37086992.238732599</v>
      </c>
      <c r="L58" s="19">
        <v>36090084.995033197</v>
      </c>
      <c r="M58" s="19">
        <v>2837652.6263346202</v>
      </c>
      <c r="N58" s="19">
        <v>2890359.0838095802</v>
      </c>
      <c r="O58" s="17" t="s">
        <v>30</v>
      </c>
      <c r="P58" s="17" t="s">
        <v>38</v>
      </c>
    </row>
    <row r="59" spans="1:16" ht="15" customHeight="1" x14ac:dyDescent="0.25">
      <c r="A59" s="17" t="s">
        <v>139</v>
      </c>
      <c r="B59" s="17" t="s">
        <v>74</v>
      </c>
      <c r="C59" s="17" t="s">
        <v>56</v>
      </c>
      <c r="D59" s="17" t="s">
        <v>57</v>
      </c>
      <c r="E59" s="17" t="s">
        <v>49</v>
      </c>
      <c r="F59" s="18">
        <v>45719</v>
      </c>
      <c r="G59" s="18">
        <v>46098</v>
      </c>
      <c r="H59" s="19">
        <v>7480000</v>
      </c>
      <c r="I59" s="19">
        <v>400000</v>
      </c>
      <c r="J59" s="19">
        <v>8650000</v>
      </c>
      <c r="K59" s="19">
        <v>8449310.5830074791</v>
      </c>
      <c r="L59" s="19">
        <v>7052409.3594061499</v>
      </c>
      <c r="M59" s="19">
        <v>635623.05155646196</v>
      </c>
      <c r="N59" s="19">
        <v>697769.95222114003</v>
      </c>
      <c r="O59" s="17" t="s">
        <v>37</v>
      </c>
      <c r="P59" s="17" t="s">
        <v>24</v>
      </c>
    </row>
    <row r="60" spans="1:16" ht="15" customHeight="1" x14ac:dyDescent="0.25">
      <c r="A60" s="17" t="s">
        <v>140</v>
      </c>
      <c r="B60" s="17" t="s">
        <v>76</v>
      </c>
      <c r="C60" s="17" t="s">
        <v>60</v>
      </c>
      <c r="D60" s="17" t="s">
        <v>27</v>
      </c>
      <c r="E60" s="17" t="s">
        <v>22</v>
      </c>
      <c r="F60" s="18">
        <v>45900</v>
      </c>
      <c r="G60" s="18">
        <v>46261</v>
      </c>
      <c r="H60" s="19">
        <v>51650000</v>
      </c>
      <c r="I60" s="19">
        <v>7690000</v>
      </c>
      <c r="J60" s="19">
        <v>58430000</v>
      </c>
      <c r="K60" s="19">
        <v>60673591.685002796</v>
      </c>
      <c r="L60" s="19">
        <v>54409821.948665403</v>
      </c>
      <c r="M60" s="19">
        <v>5990569.5717143798</v>
      </c>
      <c r="N60" s="19">
        <v>4747240.33542562</v>
      </c>
      <c r="O60" s="17" t="s">
        <v>44</v>
      </c>
      <c r="P60" s="17" t="s">
        <v>31</v>
      </c>
    </row>
    <row r="61" spans="1:16" ht="15" customHeight="1" x14ac:dyDescent="0.25">
      <c r="A61" s="17" t="s">
        <v>141</v>
      </c>
      <c r="B61" s="17" t="s">
        <v>78</v>
      </c>
      <c r="C61" s="17" t="s">
        <v>20</v>
      </c>
      <c r="D61" s="17" t="s">
        <v>21</v>
      </c>
      <c r="E61" s="17" t="s">
        <v>29</v>
      </c>
      <c r="F61" s="18">
        <v>45838</v>
      </c>
      <c r="G61" s="18">
        <v>46374</v>
      </c>
      <c r="H61" s="19">
        <v>13130000</v>
      </c>
      <c r="I61" s="19">
        <v>820000</v>
      </c>
      <c r="J61" s="19">
        <v>13070000</v>
      </c>
      <c r="K61" s="19">
        <v>16124362.5207207</v>
      </c>
      <c r="L61" s="19">
        <v>15642963.417820999</v>
      </c>
      <c r="M61" s="19">
        <v>836118.77339638397</v>
      </c>
      <c r="N61" s="19">
        <v>832361.89179492299</v>
      </c>
      <c r="O61" s="17" t="s">
        <v>23</v>
      </c>
      <c r="P61" s="17" t="s">
        <v>38</v>
      </c>
    </row>
    <row r="62" spans="1:16" ht="15" customHeight="1" x14ac:dyDescent="0.25">
      <c r="A62" s="17" t="s">
        <v>142</v>
      </c>
      <c r="B62" s="17" t="s">
        <v>80</v>
      </c>
      <c r="C62" s="17" t="s">
        <v>27</v>
      </c>
      <c r="D62" s="17" t="s">
        <v>28</v>
      </c>
      <c r="E62" s="17" t="s">
        <v>36</v>
      </c>
      <c r="F62" s="18">
        <v>45825</v>
      </c>
      <c r="G62" s="18">
        <v>46356</v>
      </c>
      <c r="H62" s="19">
        <v>5200000</v>
      </c>
      <c r="I62" s="19">
        <v>730000</v>
      </c>
      <c r="J62" s="19">
        <v>5830000</v>
      </c>
      <c r="K62" s="19">
        <v>6691160.2936565299</v>
      </c>
      <c r="L62" s="19">
        <v>6148051.97764167</v>
      </c>
      <c r="M62" s="19">
        <v>770886.15860007703</v>
      </c>
      <c r="N62" s="19">
        <v>655660.67891072296</v>
      </c>
      <c r="O62" s="17" t="s">
        <v>30</v>
      </c>
      <c r="P62" s="17" t="s">
        <v>24</v>
      </c>
    </row>
    <row r="63" spans="1:16" ht="15" customHeight="1" x14ac:dyDescent="0.25">
      <c r="A63" s="17" t="s">
        <v>143</v>
      </c>
      <c r="B63" s="17" t="s">
        <v>82</v>
      </c>
      <c r="C63" s="17" t="s">
        <v>34</v>
      </c>
      <c r="D63" s="17" t="s">
        <v>35</v>
      </c>
      <c r="E63" s="17" t="s">
        <v>43</v>
      </c>
      <c r="F63" s="18">
        <v>45844</v>
      </c>
      <c r="G63" s="18">
        <v>46676</v>
      </c>
      <c r="H63" s="19">
        <v>20700000</v>
      </c>
      <c r="I63" s="19">
        <v>3380000</v>
      </c>
      <c r="J63" s="19">
        <v>22700000</v>
      </c>
      <c r="K63" s="19">
        <v>27407505.675147101</v>
      </c>
      <c r="L63" s="19">
        <v>21239641.370406002</v>
      </c>
      <c r="M63" s="19">
        <v>1770512.29148046</v>
      </c>
      <c r="N63" s="19">
        <v>1668680.32790958</v>
      </c>
      <c r="O63" s="17" t="s">
        <v>37</v>
      </c>
      <c r="P63" s="17" t="s">
        <v>31</v>
      </c>
    </row>
    <row r="64" spans="1:16" ht="15" customHeight="1" x14ac:dyDescent="0.25">
      <c r="A64" s="17" t="s">
        <v>144</v>
      </c>
      <c r="B64" s="17" t="s">
        <v>84</v>
      </c>
      <c r="C64" s="17" t="s">
        <v>41</v>
      </c>
      <c r="D64" s="17" t="s">
        <v>42</v>
      </c>
      <c r="E64" s="17" t="s">
        <v>49</v>
      </c>
      <c r="F64" s="18">
        <v>46010</v>
      </c>
      <c r="G64" s="18">
        <v>46335</v>
      </c>
      <c r="H64" s="19">
        <v>37370000</v>
      </c>
      <c r="I64" s="19">
        <v>4080000</v>
      </c>
      <c r="J64" s="19">
        <v>42120000</v>
      </c>
      <c r="K64" s="19">
        <v>38702527.203932799</v>
      </c>
      <c r="L64" s="19">
        <v>35532334.193548903</v>
      </c>
      <c r="M64" s="19">
        <v>8908491.9747756906</v>
      </c>
      <c r="N64" s="19">
        <v>10226031.317083299</v>
      </c>
      <c r="O64" s="17" t="s">
        <v>44</v>
      </c>
      <c r="P64" s="17" t="s">
        <v>38</v>
      </c>
    </row>
    <row r="65" spans="1:16" ht="15" customHeight="1" x14ac:dyDescent="0.25">
      <c r="A65" s="17" t="s">
        <v>145</v>
      </c>
      <c r="B65" s="17" t="s">
        <v>86</v>
      </c>
      <c r="C65" s="17" t="s">
        <v>47</v>
      </c>
      <c r="D65" s="17" t="s">
        <v>48</v>
      </c>
      <c r="E65" s="17" t="s">
        <v>22</v>
      </c>
      <c r="F65" s="18">
        <v>45986</v>
      </c>
      <c r="G65" s="18">
        <v>46272</v>
      </c>
      <c r="H65" s="19">
        <v>39190000</v>
      </c>
      <c r="I65" s="19">
        <v>4600000</v>
      </c>
      <c r="J65" s="19">
        <v>44050000</v>
      </c>
      <c r="K65" s="19">
        <v>50541039.988810897</v>
      </c>
      <c r="L65" s="19">
        <v>48682540.582922801</v>
      </c>
      <c r="M65" s="19">
        <v>3139493.2286200901</v>
      </c>
      <c r="N65" s="19">
        <v>3475014.2398667401</v>
      </c>
      <c r="O65" s="17" t="s">
        <v>23</v>
      </c>
      <c r="P65" s="17" t="s">
        <v>24</v>
      </c>
    </row>
    <row r="66" spans="1:16" ht="15" customHeight="1" x14ac:dyDescent="0.25">
      <c r="A66" s="17" t="s">
        <v>146</v>
      </c>
      <c r="B66" s="17" t="s">
        <v>88</v>
      </c>
      <c r="C66" s="17" t="s">
        <v>52</v>
      </c>
      <c r="D66" s="17" t="s">
        <v>53</v>
      </c>
      <c r="E66" s="17" t="s">
        <v>29</v>
      </c>
      <c r="F66" s="18">
        <v>45793</v>
      </c>
      <c r="G66" s="18">
        <v>46182</v>
      </c>
      <c r="H66" s="19">
        <v>11510000</v>
      </c>
      <c r="I66" s="19">
        <v>1960000</v>
      </c>
      <c r="J66" s="19">
        <v>13220000</v>
      </c>
      <c r="K66" s="19">
        <v>14919546.801332699</v>
      </c>
      <c r="L66" s="19">
        <v>14103170.193615001</v>
      </c>
      <c r="M66" s="19">
        <v>1684851.27165277</v>
      </c>
      <c r="N66" s="19">
        <v>1619125.7685338999</v>
      </c>
      <c r="O66" s="17" t="s">
        <v>30</v>
      </c>
      <c r="P66" s="17" t="s">
        <v>31</v>
      </c>
    </row>
    <row r="67" spans="1:16" ht="15" customHeight="1" x14ac:dyDescent="0.25">
      <c r="A67" s="17" t="s">
        <v>147</v>
      </c>
      <c r="B67" s="17" t="s">
        <v>90</v>
      </c>
      <c r="C67" s="17" t="s">
        <v>56</v>
      </c>
      <c r="D67" s="17" t="s">
        <v>57</v>
      </c>
      <c r="E67" s="17" t="s">
        <v>36</v>
      </c>
      <c r="F67" s="18">
        <v>45466</v>
      </c>
      <c r="G67" s="18">
        <v>45668</v>
      </c>
      <c r="H67" s="19">
        <v>7400000</v>
      </c>
      <c r="I67" s="19">
        <v>550000</v>
      </c>
      <c r="J67" s="19">
        <v>8680000</v>
      </c>
      <c r="K67" s="19">
        <v>7627904.7940953998</v>
      </c>
      <c r="L67" s="19">
        <v>6430466.1638751198</v>
      </c>
      <c r="M67" s="19">
        <v>1396071.1146508099</v>
      </c>
      <c r="N67" s="19">
        <v>1261477.5252749899</v>
      </c>
      <c r="O67" s="17" t="s">
        <v>37</v>
      </c>
      <c r="P67" s="17" t="s">
        <v>38</v>
      </c>
    </row>
    <row r="68" spans="1:16" ht="15" customHeight="1" x14ac:dyDescent="0.25">
      <c r="A68" s="17" t="s">
        <v>148</v>
      </c>
      <c r="B68" s="17" t="s">
        <v>92</v>
      </c>
      <c r="C68" s="17" t="s">
        <v>60</v>
      </c>
      <c r="D68" s="17" t="s">
        <v>27</v>
      </c>
      <c r="E68" s="17" t="s">
        <v>43</v>
      </c>
      <c r="F68" s="18">
        <v>45816</v>
      </c>
      <c r="G68" s="18">
        <v>46042</v>
      </c>
      <c r="H68" s="19">
        <v>36710000</v>
      </c>
      <c r="I68" s="19">
        <v>2450000</v>
      </c>
      <c r="J68" s="19">
        <v>37890000</v>
      </c>
      <c r="K68" s="19">
        <v>41571030.511354901</v>
      </c>
      <c r="L68" s="19">
        <v>41354695.617024802</v>
      </c>
      <c r="M68" s="19">
        <v>4440363.0951453298</v>
      </c>
      <c r="N68" s="19">
        <v>3393564.4476515101</v>
      </c>
      <c r="O68" s="17" t="s">
        <v>44</v>
      </c>
      <c r="P68" s="17" t="s">
        <v>24</v>
      </c>
    </row>
    <row r="69" spans="1:16" ht="15" customHeight="1" x14ac:dyDescent="0.25">
      <c r="A69" s="17" t="s">
        <v>149</v>
      </c>
      <c r="B69" s="17" t="s">
        <v>94</v>
      </c>
      <c r="C69" s="17" t="s">
        <v>20</v>
      </c>
      <c r="D69" s="17" t="s">
        <v>21</v>
      </c>
      <c r="E69" s="17" t="s">
        <v>49</v>
      </c>
      <c r="F69" s="18">
        <v>45550</v>
      </c>
      <c r="G69" s="18">
        <v>46241</v>
      </c>
      <c r="H69" s="19">
        <v>32990000</v>
      </c>
      <c r="I69" s="19">
        <v>2310000</v>
      </c>
      <c r="J69" s="19">
        <v>34870000</v>
      </c>
      <c r="K69" s="19">
        <v>35172303.152442202</v>
      </c>
      <c r="L69" s="19">
        <v>37365719.088756897</v>
      </c>
      <c r="M69" s="19">
        <v>4870138.9267216902</v>
      </c>
      <c r="N69" s="19">
        <v>3963520.65733427</v>
      </c>
      <c r="O69" s="17" t="s">
        <v>23</v>
      </c>
      <c r="P69" s="17" t="s">
        <v>31</v>
      </c>
    </row>
    <row r="70" spans="1:16" ht="15" customHeight="1" x14ac:dyDescent="0.25">
      <c r="A70" s="17" t="s">
        <v>150</v>
      </c>
      <c r="B70" s="17" t="s">
        <v>96</v>
      </c>
      <c r="C70" s="17" t="s">
        <v>27</v>
      </c>
      <c r="D70" s="17" t="s">
        <v>28</v>
      </c>
      <c r="E70" s="17" t="s">
        <v>22</v>
      </c>
      <c r="F70" s="18">
        <v>45875</v>
      </c>
      <c r="G70" s="18">
        <v>46155</v>
      </c>
      <c r="H70" s="19">
        <v>12350000</v>
      </c>
      <c r="I70" s="19">
        <v>2210000</v>
      </c>
      <c r="J70" s="19">
        <v>14390000</v>
      </c>
      <c r="K70" s="19">
        <v>16863619.506153699</v>
      </c>
      <c r="L70" s="19">
        <v>16334094.423044199</v>
      </c>
      <c r="M70" s="19">
        <v>1026331.3076947799</v>
      </c>
      <c r="N70" s="19">
        <v>1121020.62143888</v>
      </c>
      <c r="O70" s="17" t="s">
        <v>30</v>
      </c>
      <c r="P70" s="17" t="s">
        <v>38</v>
      </c>
    </row>
    <row r="71" spans="1:16" ht="15" customHeight="1" x14ac:dyDescent="0.25">
      <c r="A71" s="17" t="s">
        <v>151</v>
      </c>
      <c r="B71" s="17" t="s">
        <v>98</v>
      </c>
      <c r="C71" s="17" t="s">
        <v>34</v>
      </c>
      <c r="D71" s="17" t="s">
        <v>35</v>
      </c>
      <c r="E71" s="17" t="s">
        <v>29</v>
      </c>
      <c r="F71" s="18">
        <v>45458</v>
      </c>
      <c r="G71" s="18">
        <v>45849</v>
      </c>
      <c r="H71" s="19">
        <v>40100000</v>
      </c>
      <c r="I71" s="19">
        <v>4630000</v>
      </c>
      <c r="J71" s="19">
        <v>44500000</v>
      </c>
      <c r="K71" s="19">
        <v>46408097.718839601</v>
      </c>
      <c r="L71" s="19">
        <v>38959914.437910698</v>
      </c>
      <c r="M71" s="19">
        <v>8977326.7830403708</v>
      </c>
      <c r="N71" s="19">
        <v>9199046.8826595005</v>
      </c>
      <c r="O71" s="17" t="s">
        <v>37</v>
      </c>
      <c r="P71" s="17" t="s">
        <v>24</v>
      </c>
    </row>
    <row r="72" spans="1:16" ht="15" customHeight="1" x14ac:dyDescent="0.25">
      <c r="A72" s="17" t="s">
        <v>152</v>
      </c>
      <c r="B72" s="17" t="s">
        <v>100</v>
      </c>
      <c r="C72" s="17" t="s">
        <v>41</v>
      </c>
      <c r="D72" s="17" t="s">
        <v>42</v>
      </c>
      <c r="E72" s="17" t="s">
        <v>36</v>
      </c>
      <c r="F72" s="18">
        <v>45789</v>
      </c>
      <c r="G72" s="18">
        <v>46508</v>
      </c>
      <c r="H72" s="19">
        <v>39670000</v>
      </c>
      <c r="I72" s="19">
        <v>830000</v>
      </c>
      <c r="J72" s="19">
        <v>40250000</v>
      </c>
      <c r="K72" s="19">
        <v>41939562.135678202</v>
      </c>
      <c r="L72" s="19">
        <v>43814187.638232999</v>
      </c>
      <c r="M72" s="19">
        <v>4330445.4886648804</v>
      </c>
      <c r="N72" s="19">
        <v>4294069.6863319697</v>
      </c>
      <c r="O72" s="17" t="s">
        <v>44</v>
      </c>
      <c r="P72" s="17" t="s">
        <v>31</v>
      </c>
    </row>
    <row r="73" spans="1:16" ht="15" customHeight="1" x14ac:dyDescent="0.25">
      <c r="A73" s="17" t="s">
        <v>153</v>
      </c>
      <c r="B73" s="17" t="s">
        <v>102</v>
      </c>
      <c r="C73" s="17" t="s">
        <v>47</v>
      </c>
      <c r="D73" s="17" t="s">
        <v>48</v>
      </c>
      <c r="E73" s="17" t="s">
        <v>43</v>
      </c>
      <c r="F73" s="18">
        <v>45606</v>
      </c>
      <c r="G73" s="18">
        <v>46014</v>
      </c>
      <c r="H73" s="19">
        <v>21780000</v>
      </c>
      <c r="I73" s="19">
        <v>1490000</v>
      </c>
      <c r="J73" s="19">
        <v>22830000</v>
      </c>
      <c r="K73" s="19">
        <v>25756364.7256012</v>
      </c>
      <c r="L73" s="19">
        <v>26814834.277482301</v>
      </c>
      <c r="M73" s="19">
        <v>2258516.4983185302</v>
      </c>
      <c r="N73" s="19">
        <v>2216799.9982603202</v>
      </c>
      <c r="O73" s="17" t="s">
        <v>23</v>
      </c>
      <c r="P73" s="17" t="s">
        <v>38</v>
      </c>
    </row>
    <row r="74" spans="1:16" ht="15" customHeight="1" x14ac:dyDescent="0.25">
      <c r="A74" s="17" t="s">
        <v>154</v>
      </c>
      <c r="B74" s="17" t="s">
        <v>104</v>
      </c>
      <c r="C74" s="17" t="s">
        <v>52</v>
      </c>
      <c r="D74" s="17" t="s">
        <v>53</v>
      </c>
      <c r="E74" s="17" t="s">
        <v>49</v>
      </c>
      <c r="F74" s="18">
        <v>45884</v>
      </c>
      <c r="G74" s="18">
        <v>46184</v>
      </c>
      <c r="H74" s="19">
        <v>29760000</v>
      </c>
      <c r="I74" s="19">
        <v>310000</v>
      </c>
      <c r="J74" s="19">
        <v>32340000</v>
      </c>
      <c r="K74" s="19">
        <v>32025065.574788298</v>
      </c>
      <c r="L74" s="19">
        <v>29631888.0107712</v>
      </c>
      <c r="M74" s="19">
        <v>6579534.0676080603</v>
      </c>
      <c r="N74" s="19">
        <v>5183527.19409547</v>
      </c>
      <c r="O74" s="17" t="s">
        <v>30</v>
      </c>
      <c r="P74" s="17" t="s">
        <v>24</v>
      </c>
    </row>
    <row r="75" spans="1:16" ht="15" customHeight="1" x14ac:dyDescent="0.25">
      <c r="A75" s="17" t="s">
        <v>155</v>
      </c>
      <c r="B75" s="17" t="s">
        <v>106</v>
      </c>
      <c r="C75" s="17" t="s">
        <v>56</v>
      </c>
      <c r="D75" s="17" t="s">
        <v>57</v>
      </c>
      <c r="E75" s="17" t="s">
        <v>22</v>
      </c>
      <c r="F75" s="18">
        <v>45484</v>
      </c>
      <c r="G75" s="18">
        <v>46336</v>
      </c>
      <c r="H75" s="19">
        <v>8520000</v>
      </c>
      <c r="I75" s="19">
        <v>760000</v>
      </c>
      <c r="J75" s="19">
        <v>9240000</v>
      </c>
      <c r="K75" s="19">
        <v>10027093.779638801</v>
      </c>
      <c r="L75" s="19">
        <v>8674585.2682896294</v>
      </c>
      <c r="M75" s="19">
        <v>531423.35182903497</v>
      </c>
      <c r="N75" s="19">
        <v>468565.85828487098</v>
      </c>
      <c r="O75" s="17" t="s">
        <v>37</v>
      </c>
      <c r="P75" s="17" t="s">
        <v>31</v>
      </c>
    </row>
    <row r="76" spans="1:16" ht="15" customHeight="1" x14ac:dyDescent="0.25">
      <c r="A76" s="17" t="s">
        <v>156</v>
      </c>
      <c r="B76" s="17" t="s">
        <v>108</v>
      </c>
      <c r="C76" s="17" t="s">
        <v>60</v>
      </c>
      <c r="D76" s="17" t="s">
        <v>27</v>
      </c>
      <c r="E76" s="17" t="s">
        <v>29</v>
      </c>
      <c r="F76" s="18">
        <v>45590</v>
      </c>
      <c r="G76" s="18">
        <v>46416</v>
      </c>
      <c r="H76" s="19">
        <v>16520000</v>
      </c>
      <c r="I76" s="19">
        <v>2130000</v>
      </c>
      <c r="J76" s="19">
        <v>19990000</v>
      </c>
      <c r="K76" s="19">
        <v>16807138.967027199</v>
      </c>
      <c r="L76" s="19">
        <v>15338971.0760304</v>
      </c>
      <c r="M76" s="19">
        <v>3840551.3786177798</v>
      </c>
      <c r="N76" s="19">
        <v>3829774.20867807</v>
      </c>
      <c r="O76" s="17" t="s">
        <v>44</v>
      </c>
      <c r="P76" s="17" t="s">
        <v>38</v>
      </c>
    </row>
    <row r="77" spans="1:16" ht="15" customHeight="1" x14ac:dyDescent="0.25">
      <c r="A77" s="17" t="s">
        <v>157</v>
      </c>
      <c r="B77" s="17" t="s">
        <v>110</v>
      </c>
      <c r="C77" s="17" t="s">
        <v>20</v>
      </c>
      <c r="D77" s="17" t="s">
        <v>21</v>
      </c>
      <c r="E77" s="17" t="s">
        <v>36</v>
      </c>
      <c r="F77" s="18">
        <v>46049</v>
      </c>
      <c r="G77" s="18">
        <v>46398</v>
      </c>
      <c r="H77" s="19">
        <v>23590000</v>
      </c>
      <c r="I77" s="19">
        <v>2800000</v>
      </c>
      <c r="J77" s="19">
        <v>28150000</v>
      </c>
      <c r="K77" s="19">
        <v>27847301.449016299</v>
      </c>
      <c r="L77" s="19">
        <v>25957698.8367492</v>
      </c>
      <c r="M77" s="19">
        <v>5027539.9570294404</v>
      </c>
      <c r="N77" s="19">
        <v>5513712.0876653697</v>
      </c>
      <c r="O77" s="17" t="s">
        <v>23</v>
      </c>
      <c r="P77" s="17" t="s">
        <v>24</v>
      </c>
    </row>
    <row r="78" spans="1:16" ht="15" customHeight="1" x14ac:dyDescent="0.25">
      <c r="A78" s="17" t="s">
        <v>158</v>
      </c>
      <c r="B78" s="17" t="s">
        <v>112</v>
      </c>
      <c r="C78" s="17" t="s">
        <v>27</v>
      </c>
      <c r="D78" s="17" t="s">
        <v>28</v>
      </c>
      <c r="E78" s="17" t="s">
        <v>43</v>
      </c>
      <c r="F78" s="18">
        <v>45384</v>
      </c>
      <c r="G78" s="18">
        <v>46233</v>
      </c>
      <c r="H78" s="19">
        <v>14720000</v>
      </c>
      <c r="I78" s="19">
        <v>1450000</v>
      </c>
      <c r="J78" s="19">
        <v>16990000</v>
      </c>
      <c r="K78" s="19">
        <v>17788413.125847701</v>
      </c>
      <c r="L78" s="19">
        <v>15563950.4348948</v>
      </c>
      <c r="M78" s="19">
        <v>1071445.2307591201</v>
      </c>
      <c r="N78" s="19">
        <v>875663.61168082699</v>
      </c>
      <c r="O78" s="17" t="s">
        <v>30</v>
      </c>
      <c r="P78" s="17" t="s">
        <v>31</v>
      </c>
    </row>
    <row r="79" spans="1:16" ht="15" customHeight="1" x14ac:dyDescent="0.25">
      <c r="A79" s="17" t="s">
        <v>159</v>
      </c>
      <c r="B79" s="17" t="s">
        <v>114</v>
      </c>
      <c r="C79" s="17" t="s">
        <v>34</v>
      </c>
      <c r="D79" s="17" t="s">
        <v>35</v>
      </c>
      <c r="E79" s="17" t="s">
        <v>49</v>
      </c>
      <c r="F79" s="18">
        <v>45558</v>
      </c>
      <c r="G79" s="18">
        <v>46443</v>
      </c>
      <c r="H79" s="19">
        <v>37740000</v>
      </c>
      <c r="I79" s="19">
        <v>2470000</v>
      </c>
      <c r="J79" s="19">
        <v>39320000</v>
      </c>
      <c r="K79" s="19">
        <v>41738597.980054699</v>
      </c>
      <c r="L79" s="19">
        <v>37210916.657219402</v>
      </c>
      <c r="M79" s="19">
        <v>7066291.22799234</v>
      </c>
      <c r="N79" s="19">
        <v>5591467.2931406703</v>
      </c>
      <c r="O79" s="17" t="s">
        <v>37</v>
      </c>
      <c r="P79" s="17" t="s">
        <v>38</v>
      </c>
    </row>
    <row r="80" spans="1:16" ht="15" customHeight="1" x14ac:dyDescent="0.25">
      <c r="A80" s="17" t="s">
        <v>160</v>
      </c>
      <c r="B80" s="17" t="s">
        <v>116</v>
      </c>
      <c r="C80" s="17" t="s">
        <v>41</v>
      </c>
      <c r="D80" s="17" t="s">
        <v>42</v>
      </c>
      <c r="E80" s="17" t="s">
        <v>22</v>
      </c>
      <c r="F80" s="18">
        <v>45805</v>
      </c>
      <c r="G80" s="18">
        <v>46205</v>
      </c>
      <c r="H80" s="19">
        <v>40080000</v>
      </c>
      <c r="I80" s="19">
        <v>4140000</v>
      </c>
      <c r="J80" s="19">
        <v>41570000</v>
      </c>
      <c r="K80" s="19">
        <v>47911379.168356799</v>
      </c>
      <c r="L80" s="19">
        <v>43588694.680481002</v>
      </c>
      <c r="M80" s="19">
        <v>5130432.3154437896</v>
      </c>
      <c r="N80" s="19">
        <v>4052365.7287918702</v>
      </c>
      <c r="O80" s="17" t="s">
        <v>44</v>
      </c>
      <c r="P80" s="17" t="s">
        <v>24</v>
      </c>
    </row>
    <row r="81" spans="1:16" ht="15" customHeight="1" x14ac:dyDescent="0.25">
      <c r="A81" s="17" t="s">
        <v>161</v>
      </c>
      <c r="B81" s="17" t="s">
        <v>118</v>
      </c>
      <c r="C81" s="17" t="s">
        <v>47</v>
      </c>
      <c r="D81" s="17" t="s">
        <v>48</v>
      </c>
      <c r="E81" s="17" t="s">
        <v>29</v>
      </c>
      <c r="F81" s="18">
        <v>45452</v>
      </c>
      <c r="G81" s="18">
        <v>46064</v>
      </c>
      <c r="H81" s="19">
        <v>35870000</v>
      </c>
      <c r="I81" s="19">
        <v>5550000</v>
      </c>
      <c r="J81" s="19">
        <v>42280000</v>
      </c>
      <c r="K81" s="19">
        <v>38514715.357303597</v>
      </c>
      <c r="L81" s="19">
        <v>34021592.255147703</v>
      </c>
      <c r="M81" s="19">
        <v>7416191.4102464896</v>
      </c>
      <c r="N81" s="19">
        <v>7843789.2820251901</v>
      </c>
      <c r="O81" s="17" t="s">
        <v>23</v>
      </c>
      <c r="P81" s="17" t="s">
        <v>31</v>
      </c>
    </row>
    <row r="82" spans="1:16" ht="15" customHeight="1" x14ac:dyDescent="0.25">
      <c r="A82" s="17" t="s">
        <v>162</v>
      </c>
      <c r="B82" s="17" t="s">
        <v>120</v>
      </c>
      <c r="C82" s="17" t="s">
        <v>52</v>
      </c>
      <c r="D82" s="17" t="s">
        <v>53</v>
      </c>
      <c r="E82" s="17" t="s">
        <v>36</v>
      </c>
      <c r="F82" s="18">
        <v>45547</v>
      </c>
      <c r="G82" s="18">
        <v>46234</v>
      </c>
      <c r="H82" s="19">
        <v>23540000</v>
      </c>
      <c r="I82" s="19">
        <v>3670000</v>
      </c>
      <c r="J82" s="19">
        <v>29320000</v>
      </c>
      <c r="K82" s="19">
        <v>31431921.666196801</v>
      </c>
      <c r="L82" s="19">
        <v>32014521.385505199</v>
      </c>
      <c r="M82" s="19">
        <v>1835300.3978005799</v>
      </c>
      <c r="N82" s="19">
        <v>1465242.4678330701</v>
      </c>
      <c r="O82" s="17" t="s">
        <v>30</v>
      </c>
      <c r="P82" s="17" t="s">
        <v>38</v>
      </c>
    </row>
    <row r="83" spans="1:16" ht="15" customHeight="1" x14ac:dyDescent="0.25">
      <c r="A83" s="17" t="s">
        <v>163</v>
      </c>
      <c r="B83" s="17" t="s">
        <v>122</v>
      </c>
      <c r="C83" s="17" t="s">
        <v>56</v>
      </c>
      <c r="D83" s="17" t="s">
        <v>57</v>
      </c>
      <c r="E83" s="17" t="s">
        <v>43</v>
      </c>
      <c r="F83" s="18">
        <v>45870</v>
      </c>
      <c r="G83" s="18">
        <v>46629</v>
      </c>
      <c r="H83" s="19">
        <v>10900000</v>
      </c>
      <c r="I83" s="19">
        <v>810000</v>
      </c>
      <c r="J83" s="19">
        <v>12310000</v>
      </c>
      <c r="K83" s="19">
        <v>12117147.1183709</v>
      </c>
      <c r="L83" s="19">
        <v>9974889.0941855703</v>
      </c>
      <c r="M83" s="19">
        <v>1648464.9145448999</v>
      </c>
      <c r="N83" s="19">
        <v>1658236.3568249401</v>
      </c>
      <c r="O83" s="17" t="s">
        <v>37</v>
      </c>
      <c r="P83" s="17" t="s">
        <v>24</v>
      </c>
    </row>
    <row r="84" spans="1:16" ht="15" customHeight="1" x14ac:dyDescent="0.25">
      <c r="A84" s="17" t="s">
        <v>164</v>
      </c>
      <c r="B84" s="17" t="s">
        <v>124</v>
      </c>
      <c r="C84" s="17" t="s">
        <v>60</v>
      </c>
      <c r="D84" s="17" t="s">
        <v>27</v>
      </c>
      <c r="E84" s="17" t="s">
        <v>49</v>
      </c>
      <c r="F84" s="18">
        <v>45850</v>
      </c>
      <c r="G84" s="18">
        <v>46073</v>
      </c>
      <c r="H84" s="19">
        <v>49710000</v>
      </c>
      <c r="I84" s="19">
        <v>2080000</v>
      </c>
      <c r="J84" s="19">
        <v>54730000</v>
      </c>
      <c r="K84" s="19">
        <v>48511620.268629901</v>
      </c>
      <c r="L84" s="19">
        <v>50012310.679176196</v>
      </c>
      <c r="M84" s="19">
        <v>7975628.4161254801</v>
      </c>
      <c r="N84" s="19">
        <v>7129374.0572588099</v>
      </c>
      <c r="O84" s="17" t="s">
        <v>44</v>
      </c>
      <c r="P84" s="17" t="s">
        <v>31</v>
      </c>
    </row>
    <row r="85" spans="1:16" ht="15" customHeight="1" x14ac:dyDescent="0.25">
      <c r="A85" s="17" t="s">
        <v>165</v>
      </c>
      <c r="B85" s="17" t="s">
        <v>19</v>
      </c>
      <c r="C85" s="17" t="s">
        <v>20</v>
      </c>
      <c r="D85" s="17" t="s">
        <v>21</v>
      </c>
      <c r="E85" s="17" t="s">
        <v>22</v>
      </c>
      <c r="F85" s="18">
        <v>45484</v>
      </c>
      <c r="G85" s="18">
        <v>45950</v>
      </c>
      <c r="H85" s="19">
        <v>20040000</v>
      </c>
      <c r="I85" s="19">
        <v>820000</v>
      </c>
      <c r="J85" s="19">
        <v>19190000</v>
      </c>
      <c r="K85" s="19">
        <v>20892766.681054901</v>
      </c>
      <c r="L85" s="19">
        <v>20848093.633750599</v>
      </c>
      <c r="M85" s="19">
        <v>3583004.7453334201</v>
      </c>
      <c r="N85" s="19">
        <v>4055179.8176993998</v>
      </c>
      <c r="O85" s="17" t="s">
        <v>23</v>
      </c>
      <c r="P85" s="17" t="s">
        <v>38</v>
      </c>
    </row>
    <row r="86" spans="1:16" ht="15" customHeight="1" x14ac:dyDescent="0.25">
      <c r="A86" s="17" t="s">
        <v>166</v>
      </c>
      <c r="B86" s="17" t="s">
        <v>26</v>
      </c>
      <c r="C86" s="17" t="s">
        <v>27</v>
      </c>
      <c r="D86" s="17" t="s">
        <v>28</v>
      </c>
      <c r="E86" s="17" t="s">
        <v>29</v>
      </c>
      <c r="F86" s="18">
        <v>45857</v>
      </c>
      <c r="G86" s="18">
        <v>46304</v>
      </c>
      <c r="H86" s="19">
        <v>16460000</v>
      </c>
      <c r="I86" s="19">
        <v>1160000</v>
      </c>
      <c r="J86" s="19">
        <v>16530000</v>
      </c>
      <c r="K86" s="19">
        <v>19178873.898823101</v>
      </c>
      <c r="L86" s="19">
        <v>18761422.854258802</v>
      </c>
      <c r="M86" s="19">
        <v>3109341.55054879</v>
      </c>
      <c r="N86" s="19">
        <v>2623187.64460003</v>
      </c>
      <c r="O86" s="17" t="s">
        <v>30</v>
      </c>
      <c r="P86" s="17" t="s">
        <v>24</v>
      </c>
    </row>
    <row r="87" spans="1:16" ht="15" customHeight="1" x14ac:dyDescent="0.25">
      <c r="A87" s="17" t="s">
        <v>167</v>
      </c>
      <c r="B87" s="17" t="s">
        <v>33</v>
      </c>
      <c r="C87" s="17" t="s">
        <v>34</v>
      </c>
      <c r="D87" s="17" t="s">
        <v>35</v>
      </c>
      <c r="E87" s="17" t="s">
        <v>36</v>
      </c>
      <c r="F87" s="18">
        <v>45951</v>
      </c>
      <c r="G87" s="18">
        <v>46190</v>
      </c>
      <c r="H87" s="19">
        <v>39000000</v>
      </c>
      <c r="I87" s="19">
        <v>2940000</v>
      </c>
      <c r="J87" s="19">
        <v>45160000</v>
      </c>
      <c r="K87" s="19">
        <v>46492731.977819897</v>
      </c>
      <c r="L87" s="19">
        <v>41842185.507361799</v>
      </c>
      <c r="M87" s="19">
        <v>2878777.54846241</v>
      </c>
      <c r="N87" s="19">
        <v>2164834.9433575901</v>
      </c>
      <c r="O87" s="17" t="s">
        <v>37</v>
      </c>
      <c r="P87" s="17" t="s">
        <v>31</v>
      </c>
    </row>
    <row r="88" spans="1:16" ht="15" customHeight="1" x14ac:dyDescent="0.25">
      <c r="A88" s="17" t="s">
        <v>168</v>
      </c>
      <c r="B88" s="17" t="s">
        <v>40</v>
      </c>
      <c r="C88" s="17" t="s">
        <v>41</v>
      </c>
      <c r="D88" s="17" t="s">
        <v>42</v>
      </c>
      <c r="E88" s="17" t="s">
        <v>43</v>
      </c>
      <c r="F88" s="18">
        <v>46028</v>
      </c>
      <c r="G88" s="18">
        <v>46520</v>
      </c>
      <c r="H88" s="19">
        <v>37420000</v>
      </c>
      <c r="I88" s="19">
        <v>80000</v>
      </c>
      <c r="J88" s="19">
        <v>35540000</v>
      </c>
      <c r="K88" s="19">
        <v>37970923.846954703</v>
      </c>
      <c r="L88" s="19">
        <v>36666742.894333899</v>
      </c>
      <c r="M88" s="19">
        <v>7491922.7637331104</v>
      </c>
      <c r="N88" s="19">
        <v>8028296.9958164198</v>
      </c>
      <c r="O88" s="17" t="s">
        <v>44</v>
      </c>
      <c r="P88" s="17" t="s">
        <v>38</v>
      </c>
    </row>
    <row r="89" spans="1:16" ht="15" customHeight="1" x14ac:dyDescent="0.25">
      <c r="A89" s="17" t="s">
        <v>169</v>
      </c>
      <c r="B89" s="17" t="s">
        <v>46</v>
      </c>
      <c r="C89" s="17" t="s">
        <v>47</v>
      </c>
      <c r="D89" s="17" t="s">
        <v>48</v>
      </c>
      <c r="E89" s="17" t="s">
        <v>49</v>
      </c>
      <c r="F89" s="18">
        <v>45399</v>
      </c>
      <c r="G89" s="18">
        <v>46195</v>
      </c>
      <c r="H89" s="19">
        <v>39330000</v>
      </c>
      <c r="I89" s="19">
        <v>1850000</v>
      </c>
      <c r="J89" s="19">
        <v>41570000</v>
      </c>
      <c r="K89" s="19">
        <v>46046995.935622901</v>
      </c>
      <c r="L89" s="19">
        <v>46250172.809498698</v>
      </c>
      <c r="M89" s="19">
        <v>3229461.1255916799</v>
      </c>
      <c r="N89" s="19">
        <v>2606044.3244012501</v>
      </c>
      <c r="O89" s="17" t="s">
        <v>23</v>
      </c>
      <c r="P89" s="17" t="s">
        <v>24</v>
      </c>
    </row>
    <row r="90" spans="1:16" ht="15" customHeight="1" x14ac:dyDescent="0.25">
      <c r="A90" s="17" t="s">
        <v>170</v>
      </c>
      <c r="B90" s="17" t="s">
        <v>51</v>
      </c>
      <c r="C90" s="17" t="s">
        <v>52</v>
      </c>
      <c r="D90" s="17" t="s">
        <v>53</v>
      </c>
      <c r="E90" s="17" t="s">
        <v>22</v>
      </c>
      <c r="F90" s="18">
        <v>45584</v>
      </c>
      <c r="G90" s="18">
        <v>46482</v>
      </c>
      <c r="H90" s="19">
        <v>25380000</v>
      </c>
      <c r="I90" s="19">
        <v>4420000</v>
      </c>
      <c r="J90" s="19">
        <v>28290000</v>
      </c>
      <c r="K90" s="19">
        <v>35530987.761895403</v>
      </c>
      <c r="L90" s="19">
        <v>35356540.661020197</v>
      </c>
      <c r="M90" s="19">
        <v>1202380.1698572</v>
      </c>
      <c r="N90" s="19">
        <v>940397.07824696205</v>
      </c>
      <c r="O90" s="17" t="s">
        <v>30</v>
      </c>
      <c r="P90" s="17" t="s">
        <v>31</v>
      </c>
    </row>
    <row r="91" spans="1:16" ht="15" customHeight="1" x14ac:dyDescent="0.25">
      <c r="A91" s="17" t="s">
        <v>171</v>
      </c>
      <c r="B91" s="17" t="s">
        <v>55</v>
      </c>
      <c r="C91" s="17" t="s">
        <v>56</v>
      </c>
      <c r="D91" s="17" t="s">
        <v>57</v>
      </c>
      <c r="E91" s="17" t="s">
        <v>29</v>
      </c>
      <c r="F91" s="18">
        <v>45905</v>
      </c>
      <c r="G91" s="18">
        <v>46187</v>
      </c>
      <c r="H91" s="19">
        <v>7770000</v>
      </c>
      <c r="I91" s="19">
        <v>680000</v>
      </c>
      <c r="J91" s="19">
        <v>8350000</v>
      </c>
      <c r="K91" s="19">
        <v>8835786.2893526405</v>
      </c>
      <c r="L91" s="19">
        <v>7618584.5969783301</v>
      </c>
      <c r="M91" s="19">
        <v>946308.01821183297</v>
      </c>
      <c r="N91" s="19">
        <v>735083.69698377</v>
      </c>
      <c r="O91" s="17" t="s">
        <v>37</v>
      </c>
      <c r="P91" s="17" t="s">
        <v>38</v>
      </c>
    </row>
    <row r="92" spans="1:16" ht="15" customHeight="1" x14ac:dyDescent="0.25">
      <c r="A92" s="17" t="s">
        <v>172</v>
      </c>
      <c r="B92" s="17" t="s">
        <v>59</v>
      </c>
      <c r="C92" s="17" t="s">
        <v>60</v>
      </c>
      <c r="D92" s="17" t="s">
        <v>27</v>
      </c>
      <c r="E92" s="17" t="s">
        <v>36</v>
      </c>
      <c r="F92" s="18">
        <v>45910</v>
      </c>
      <c r="G92" s="18">
        <v>46511</v>
      </c>
      <c r="H92" s="19">
        <v>50140000</v>
      </c>
      <c r="I92" s="19">
        <v>3220000</v>
      </c>
      <c r="J92" s="19">
        <v>53000000</v>
      </c>
      <c r="K92" s="19">
        <v>52041538.067357503</v>
      </c>
      <c r="L92" s="19">
        <v>58208497.285934903</v>
      </c>
      <c r="M92" s="19">
        <v>8996546.5628643204</v>
      </c>
      <c r="N92" s="19">
        <v>9526957.4594823606</v>
      </c>
      <c r="O92" s="17" t="s">
        <v>44</v>
      </c>
      <c r="P92" s="17" t="s">
        <v>24</v>
      </c>
    </row>
    <row r="93" spans="1:16" ht="15" customHeight="1" x14ac:dyDescent="0.25">
      <c r="A93" s="17" t="s">
        <v>173</v>
      </c>
      <c r="B93" s="17" t="s">
        <v>62</v>
      </c>
      <c r="C93" s="17" t="s">
        <v>20</v>
      </c>
      <c r="D93" s="17" t="s">
        <v>21</v>
      </c>
      <c r="E93" s="17" t="s">
        <v>43</v>
      </c>
      <c r="F93" s="18">
        <v>45660</v>
      </c>
      <c r="G93" s="18">
        <v>46230</v>
      </c>
      <c r="H93" s="19">
        <v>24790000</v>
      </c>
      <c r="I93" s="19">
        <v>830000</v>
      </c>
      <c r="J93" s="19">
        <v>25660000</v>
      </c>
      <c r="K93" s="19">
        <v>25904430.783363398</v>
      </c>
      <c r="L93" s="19">
        <v>25993986.412744001</v>
      </c>
      <c r="M93" s="19">
        <v>4342959.6715177996</v>
      </c>
      <c r="N93" s="19">
        <v>3825557.5938997902</v>
      </c>
      <c r="O93" s="17" t="s">
        <v>23</v>
      </c>
      <c r="P93" s="17" t="s">
        <v>31</v>
      </c>
    </row>
    <row r="94" spans="1:16" ht="15" customHeight="1" x14ac:dyDescent="0.25">
      <c r="A94" s="17" t="s">
        <v>174</v>
      </c>
      <c r="B94" s="17" t="s">
        <v>64</v>
      </c>
      <c r="C94" s="17" t="s">
        <v>27</v>
      </c>
      <c r="D94" s="17" t="s">
        <v>28</v>
      </c>
      <c r="E94" s="17" t="s">
        <v>49</v>
      </c>
      <c r="F94" s="18">
        <v>45809</v>
      </c>
      <c r="G94" s="18">
        <v>46162</v>
      </c>
      <c r="H94" s="19">
        <v>20280000</v>
      </c>
      <c r="I94" s="19">
        <v>850000</v>
      </c>
      <c r="J94" s="19">
        <v>20230000</v>
      </c>
      <c r="K94" s="19">
        <v>24580237.407179601</v>
      </c>
      <c r="L94" s="19">
        <v>25277992.384850401</v>
      </c>
      <c r="M94" s="19">
        <v>1573070.76178713</v>
      </c>
      <c r="N94" s="19">
        <v>1523321.3987626999</v>
      </c>
      <c r="O94" s="17" t="s">
        <v>30</v>
      </c>
      <c r="P94" s="17" t="s">
        <v>38</v>
      </c>
    </row>
    <row r="95" spans="1:16" ht="15" customHeight="1" x14ac:dyDescent="0.25">
      <c r="A95" s="17" t="s">
        <v>175</v>
      </c>
      <c r="B95" s="17" t="s">
        <v>66</v>
      </c>
      <c r="C95" s="17" t="s">
        <v>34</v>
      </c>
      <c r="D95" s="17" t="s">
        <v>35</v>
      </c>
      <c r="E95" s="17" t="s">
        <v>22</v>
      </c>
      <c r="F95" s="18">
        <v>45399</v>
      </c>
      <c r="G95" s="18">
        <v>45896</v>
      </c>
      <c r="H95" s="19">
        <v>17330000</v>
      </c>
      <c r="I95" s="19">
        <v>10000</v>
      </c>
      <c r="J95" s="19">
        <v>17490000</v>
      </c>
      <c r="K95" s="19">
        <v>20918133.5236817</v>
      </c>
      <c r="L95" s="19">
        <v>17798136.487257902</v>
      </c>
      <c r="M95" s="19">
        <v>812648.53398131405</v>
      </c>
      <c r="N95" s="19">
        <v>873847.816936341</v>
      </c>
      <c r="O95" s="17" t="s">
        <v>37</v>
      </c>
      <c r="P95" s="17" t="s">
        <v>24</v>
      </c>
    </row>
    <row r="96" spans="1:16" ht="15" customHeight="1" x14ac:dyDescent="0.25">
      <c r="A96" s="17" t="s">
        <v>176</v>
      </c>
      <c r="B96" s="17" t="s">
        <v>68</v>
      </c>
      <c r="C96" s="17" t="s">
        <v>41</v>
      </c>
      <c r="D96" s="17" t="s">
        <v>42</v>
      </c>
      <c r="E96" s="17" t="s">
        <v>29</v>
      </c>
      <c r="F96" s="18">
        <v>45793</v>
      </c>
      <c r="G96" s="18">
        <v>46102</v>
      </c>
      <c r="H96" s="19">
        <v>57230000</v>
      </c>
      <c r="I96" s="19">
        <v>70000</v>
      </c>
      <c r="J96" s="19">
        <v>59000000</v>
      </c>
      <c r="K96" s="19">
        <v>58475047.7551485</v>
      </c>
      <c r="L96" s="19">
        <v>56139075.945290297</v>
      </c>
      <c r="M96" s="19">
        <v>7425533.6419035196</v>
      </c>
      <c r="N96" s="19">
        <v>5772916.6383050401</v>
      </c>
      <c r="O96" s="17" t="s">
        <v>44</v>
      </c>
      <c r="P96" s="17" t="s">
        <v>31</v>
      </c>
    </row>
    <row r="97" spans="1:16" ht="15" customHeight="1" x14ac:dyDescent="0.25">
      <c r="A97" s="17" t="s">
        <v>177</v>
      </c>
      <c r="B97" s="17" t="s">
        <v>70</v>
      </c>
      <c r="C97" s="17" t="s">
        <v>47</v>
      </c>
      <c r="D97" s="17" t="s">
        <v>48</v>
      </c>
      <c r="E97" s="17" t="s">
        <v>36</v>
      </c>
      <c r="F97" s="18">
        <v>46051</v>
      </c>
      <c r="G97" s="18">
        <v>46794</v>
      </c>
      <c r="H97" s="19">
        <v>29080000</v>
      </c>
      <c r="I97" s="19">
        <v>180000</v>
      </c>
      <c r="J97" s="19">
        <v>32170000</v>
      </c>
      <c r="K97" s="19">
        <v>29050316.037025999</v>
      </c>
      <c r="L97" s="19">
        <v>28169384.8154855</v>
      </c>
      <c r="M97" s="19">
        <v>4489823.1086727502</v>
      </c>
      <c r="N97" s="19">
        <v>4076357.42783895</v>
      </c>
      <c r="O97" s="17" t="s">
        <v>23</v>
      </c>
      <c r="P97" s="17" t="s">
        <v>38</v>
      </c>
    </row>
    <row r="98" spans="1:16" ht="15" customHeight="1" x14ac:dyDescent="0.25">
      <c r="A98" s="17" t="s">
        <v>178</v>
      </c>
      <c r="B98" s="17" t="s">
        <v>72</v>
      </c>
      <c r="C98" s="17" t="s">
        <v>52</v>
      </c>
      <c r="D98" s="17" t="s">
        <v>53</v>
      </c>
      <c r="E98" s="17" t="s">
        <v>43</v>
      </c>
      <c r="F98" s="18">
        <v>45838</v>
      </c>
      <c r="G98" s="18">
        <v>46423</v>
      </c>
      <c r="H98" s="19">
        <v>19910000</v>
      </c>
      <c r="I98" s="19">
        <v>120000</v>
      </c>
      <c r="J98" s="19">
        <v>19390000</v>
      </c>
      <c r="K98" s="19">
        <v>24676857.406326801</v>
      </c>
      <c r="L98" s="19">
        <v>27609617.8776181</v>
      </c>
      <c r="M98" s="19">
        <v>1377206.6325324001</v>
      </c>
      <c r="N98" s="19">
        <v>1348899.7371695701</v>
      </c>
      <c r="O98" s="17" t="s">
        <v>30</v>
      </c>
      <c r="P98" s="17" t="s">
        <v>24</v>
      </c>
    </row>
    <row r="99" spans="1:16" ht="15" customHeight="1" x14ac:dyDescent="0.25">
      <c r="A99" s="17" t="s">
        <v>179</v>
      </c>
      <c r="B99" s="17" t="s">
        <v>74</v>
      </c>
      <c r="C99" s="17" t="s">
        <v>56</v>
      </c>
      <c r="D99" s="17" t="s">
        <v>57</v>
      </c>
      <c r="E99" s="17" t="s">
        <v>49</v>
      </c>
      <c r="F99" s="18">
        <v>45767</v>
      </c>
      <c r="G99" s="18">
        <v>45960</v>
      </c>
      <c r="H99" s="19">
        <v>3390000</v>
      </c>
      <c r="I99" s="19">
        <v>500000</v>
      </c>
      <c r="J99" s="19">
        <v>4200000</v>
      </c>
      <c r="K99" s="19">
        <v>3500971.2324017501</v>
      </c>
      <c r="L99" s="19">
        <v>2879627.89313673</v>
      </c>
      <c r="M99" s="19">
        <v>754543.50517417502</v>
      </c>
      <c r="N99" s="19">
        <v>831509.04985749698</v>
      </c>
      <c r="O99" s="17" t="s">
        <v>37</v>
      </c>
      <c r="P99" s="17" t="s">
        <v>31</v>
      </c>
    </row>
    <row r="100" spans="1:16" ht="15" customHeight="1" x14ac:dyDescent="0.25">
      <c r="A100" s="17" t="s">
        <v>180</v>
      </c>
      <c r="B100" s="17" t="s">
        <v>76</v>
      </c>
      <c r="C100" s="17" t="s">
        <v>60</v>
      </c>
      <c r="D100" s="17" t="s">
        <v>27</v>
      </c>
      <c r="E100" s="17" t="s">
        <v>22</v>
      </c>
      <c r="F100" s="18">
        <v>45627</v>
      </c>
      <c r="G100" s="18">
        <v>46449</v>
      </c>
      <c r="H100" s="19">
        <v>35920000</v>
      </c>
      <c r="I100" s="19">
        <v>2750000</v>
      </c>
      <c r="J100" s="19">
        <v>39510000</v>
      </c>
      <c r="K100" s="19">
        <v>41193679.669356301</v>
      </c>
      <c r="L100" s="19">
        <v>37936994.775970601</v>
      </c>
      <c r="M100" s="19">
        <v>3775794.3874458601</v>
      </c>
      <c r="N100" s="19">
        <v>2848779.6962761199</v>
      </c>
      <c r="O100" s="17" t="s">
        <v>44</v>
      </c>
      <c r="P100" s="17" t="s">
        <v>38</v>
      </c>
    </row>
    <row r="101" spans="1:16" ht="15" customHeight="1" x14ac:dyDescent="0.25">
      <c r="A101" s="17" t="s">
        <v>181</v>
      </c>
      <c r="B101" s="17" t="s">
        <v>78</v>
      </c>
      <c r="C101" s="17" t="s">
        <v>20</v>
      </c>
      <c r="D101" s="17" t="s">
        <v>21</v>
      </c>
      <c r="E101" s="17" t="s">
        <v>29</v>
      </c>
      <c r="F101" s="18">
        <v>45501</v>
      </c>
      <c r="G101" s="18">
        <v>46283</v>
      </c>
      <c r="H101" s="19">
        <v>29230000</v>
      </c>
      <c r="I101" s="19">
        <v>4780000</v>
      </c>
      <c r="J101" s="19">
        <v>34850000</v>
      </c>
      <c r="K101" s="19">
        <v>37932390.022055998</v>
      </c>
      <c r="L101" s="19">
        <v>38432833.147456102</v>
      </c>
      <c r="M101" s="19">
        <v>5032632.7125409897</v>
      </c>
      <c r="N101" s="19">
        <v>5282734.7123021996</v>
      </c>
      <c r="O101" s="17" t="s">
        <v>23</v>
      </c>
      <c r="P101" s="17" t="s">
        <v>24</v>
      </c>
    </row>
    <row r="102" spans="1:16" ht="15" customHeight="1" x14ac:dyDescent="0.25">
      <c r="A102" s="17" t="s">
        <v>182</v>
      </c>
      <c r="B102" s="17" t="s">
        <v>80</v>
      </c>
      <c r="C102" s="17" t="s">
        <v>27</v>
      </c>
      <c r="D102" s="17" t="s">
        <v>28</v>
      </c>
      <c r="E102" s="17" t="s">
        <v>36</v>
      </c>
      <c r="F102" s="18">
        <v>45566</v>
      </c>
      <c r="G102" s="18">
        <v>46216</v>
      </c>
      <c r="H102" s="19">
        <v>12340000</v>
      </c>
      <c r="I102" s="19">
        <v>1800000</v>
      </c>
      <c r="J102" s="19">
        <v>13040000</v>
      </c>
      <c r="K102" s="19">
        <v>13317172.962576199</v>
      </c>
      <c r="L102" s="19">
        <v>12438730.3244022</v>
      </c>
      <c r="M102" s="19">
        <v>3038623.0431264099</v>
      </c>
      <c r="N102" s="19">
        <v>3482204.6678069402</v>
      </c>
      <c r="O102" s="17" t="s">
        <v>30</v>
      </c>
      <c r="P102" s="17" t="s">
        <v>31</v>
      </c>
    </row>
    <row r="103" spans="1:16" ht="15" customHeight="1" x14ac:dyDescent="0.25">
      <c r="A103" s="17" t="s">
        <v>183</v>
      </c>
      <c r="B103" s="17" t="s">
        <v>82</v>
      </c>
      <c r="C103" s="17" t="s">
        <v>34</v>
      </c>
      <c r="D103" s="17" t="s">
        <v>35</v>
      </c>
      <c r="E103" s="17" t="s">
        <v>43</v>
      </c>
      <c r="F103" s="18">
        <v>45525</v>
      </c>
      <c r="G103" s="18">
        <v>46338</v>
      </c>
      <c r="H103" s="19">
        <v>13580000</v>
      </c>
      <c r="I103" s="19">
        <v>1620000</v>
      </c>
      <c r="J103" s="19">
        <v>16690000</v>
      </c>
      <c r="K103" s="19">
        <v>15739905.183076899</v>
      </c>
      <c r="L103" s="19">
        <v>13554520.390096501</v>
      </c>
      <c r="M103" s="19">
        <v>2744902.5373778902</v>
      </c>
      <c r="N103" s="19">
        <v>2532139.4048037301</v>
      </c>
      <c r="O103" s="17" t="s">
        <v>37</v>
      </c>
      <c r="P103" s="17" t="s">
        <v>38</v>
      </c>
    </row>
    <row r="104" spans="1:16" ht="15" customHeight="1" x14ac:dyDescent="0.25">
      <c r="A104" s="17" t="s">
        <v>184</v>
      </c>
      <c r="B104" s="17" t="s">
        <v>84</v>
      </c>
      <c r="C104" s="17" t="s">
        <v>41</v>
      </c>
      <c r="D104" s="17" t="s">
        <v>42</v>
      </c>
      <c r="E104" s="17" t="s">
        <v>49</v>
      </c>
      <c r="F104" s="18">
        <v>46030</v>
      </c>
      <c r="G104" s="18">
        <v>46217</v>
      </c>
      <c r="H104" s="19">
        <v>18660000</v>
      </c>
      <c r="I104" s="19">
        <v>2250000</v>
      </c>
      <c r="J104" s="19">
        <v>20170000</v>
      </c>
      <c r="K104" s="19">
        <v>22461755.7195202</v>
      </c>
      <c r="L104" s="19">
        <v>18347568.517121401</v>
      </c>
      <c r="M104" s="19">
        <v>2770588.49666003</v>
      </c>
      <c r="N104" s="19">
        <v>2199147.3639113698</v>
      </c>
      <c r="O104" s="17" t="s">
        <v>44</v>
      </c>
      <c r="P104" s="17" t="s">
        <v>24</v>
      </c>
    </row>
    <row r="105" spans="1:16" ht="15" customHeight="1" x14ac:dyDescent="0.25">
      <c r="A105" s="17" t="s">
        <v>185</v>
      </c>
      <c r="B105" s="17" t="s">
        <v>86</v>
      </c>
      <c r="C105" s="17" t="s">
        <v>47</v>
      </c>
      <c r="D105" s="17" t="s">
        <v>48</v>
      </c>
      <c r="E105" s="17" t="s">
        <v>22</v>
      </c>
      <c r="F105" s="18">
        <v>45721</v>
      </c>
      <c r="G105" s="18">
        <v>46537</v>
      </c>
      <c r="H105" s="19">
        <v>13290000</v>
      </c>
      <c r="I105" s="19">
        <v>1450000</v>
      </c>
      <c r="J105" s="19">
        <v>14670000</v>
      </c>
      <c r="K105" s="19">
        <v>14302889.730615299</v>
      </c>
      <c r="L105" s="19">
        <v>15999230.7882645</v>
      </c>
      <c r="M105" s="19">
        <v>2239328.0951457401</v>
      </c>
      <c r="N105" s="19">
        <v>2215020.9525784999</v>
      </c>
      <c r="O105" s="17" t="s">
        <v>23</v>
      </c>
      <c r="P105" s="17" t="s">
        <v>31</v>
      </c>
    </row>
    <row r="106" spans="1:16" ht="15" customHeight="1" x14ac:dyDescent="0.25">
      <c r="A106" s="17" t="s">
        <v>186</v>
      </c>
      <c r="B106" s="17" t="s">
        <v>88</v>
      </c>
      <c r="C106" s="17" t="s">
        <v>52</v>
      </c>
      <c r="D106" s="17" t="s">
        <v>53</v>
      </c>
      <c r="E106" s="17" t="s">
        <v>29</v>
      </c>
      <c r="F106" s="18">
        <v>45511</v>
      </c>
      <c r="G106" s="18">
        <v>46321</v>
      </c>
      <c r="H106" s="19">
        <v>7390000</v>
      </c>
      <c r="I106" s="19">
        <v>440000</v>
      </c>
      <c r="J106" s="19">
        <v>7320000</v>
      </c>
      <c r="K106" s="19">
        <v>8658388.0665375795</v>
      </c>
      <c r="L106" s="19">
        <v>8970824.7290702593</v>
      </c>
      <c r="M106" s="19">
        <v>1330389.8279120901</v>
      </c>
      <c r="N106" s="19">
        <v>1302631.5665787</v>
      </c>
      <c r="O106" s="17" t="s">
        <v>30</v>
      </c>
      <c r="P106" s="17" t="s">
        <v>38</v>
      </c>
    </row>
    <row r="107" spans="1:16" ht="15" customHeight="1" x14ac:dyDescent="0.25">
      <c r="A107" s="17" t="s">
        <v>187</v>
      </c>
      <c r="B107" s="17" t="s">
        <v>90</v>
      </c>
      <c r="C107" s="17" t="s">
        <v>56</v>
      </c>
      <c r="D107" s="17" t="s">
        <v>57</v>
      </c>
      <c r="E107" s="17" t="s">
        <v>36</v>
      </c>
      <c r="F107" s="18">
        <v>46046</v>
      </c>
      <c r="G107" s="18">
        <v>46302</v>
      </c>
      <c r="H107" s="19">
        <v>2720000</v>
      </c>
      <c r="I107" s="19">
        <v>290000</v>
      </c>
      <c r="J107" s="19">
        <v>2900000</v>
      </c>
      <c r="K107" s="19">
        <v>3103436.6763212499</v>
      </c>
      <c r="L107" s="19">
        <v>2647469.4152804101</v>
      </c>
      <c r="M107" s="19">
        <v>543423.25613627594</v>
      </c>
      <c r="N107" s="19">
        <v>526106.21743572096</v>
      </c>
      <c r="O107" s="17" t="s">
        <v>37</v>
      </c>
      <c r="P107" s="17" t="s">
        <v>24</v>
      </c>
    </row>
    <row r="108" spans="1:16" ht="15" customHeight="1" x14ac:dyDescent="0.25">
      <c r="A108" s="17" t="s">
        <v>188</v>
      </c>
      <c r="B108" s="17" t="s">
        <v>92</v>
      </c>
      <c r="C108" s="17" t="s">
        <v>60</v>
      </c>
      <c r="D108" s="17" t="s">
        <v>27</v>
      </c>
      <c r="E108" s="17" t="s">
        <v>43</v>
      </c>
      <c r="F108" s="18">
        <v>45921</v>
      </c>
      <c r="G108" s="18">
        <v>46801</v>
      </c>
      <c r="H108" s="19">
        <v>39900000</v>
      </c>
      <c r="I108" s="19">
        <v>3030000</v>
      </c>
      <c r="J108" s="19">
        <v>44890000</v>
      </c>
      <c r="K108" s="19">
        <v>39131008.285739899</v>
      </c>
      <c r="L108" s="19">
        <v>40274213.8399617</v>
      </c>
      <c r="M108" s="19">
        <v>7318356.6308281701</v>
      </c>
      <c r="N108" s="19">
        <v>8169414.2011064803</v>
      </c>
      <c r="O108" s="17" t="s">
        <v>44</v>
      </c>
      <c r="P108" s="17" t="s">
        <v>31</v>
      </c>
    </row>
    <row r="109" spans="1:16" ht="15" customHeight="1" x14ac:dyDescent="0.25">
      <c r="A109" s="17" t="s">
        <v>189</v>
      </c>
      <c r="B109" s="17" t="s">
        <v>94</v>
      </c>
      <c r="C109" s="17" t="s">
        <v>20</v>
      </c>
      <c r="D109" s="17" t="s">
        <v>21</v>
      </c>
      <c r="E109" s="17" t="s">
        <v>49</v>
      </c>
      <c r="F109" s="18">
        <v>45734</v>
      </c>
      <c r="G109" s="18">
        <v>46528</v>
      </c>
      <c r="H109" s="19">
        <v>29850000</v>
      </c>
      <c r="I109" s="19">
        <v>4780000</v>
      </c>
      <c r="J109" s="19">
        <v>34410000</v>
      </c>
      <c r="K109" s="19">
        <v>34300234.862567</v>
      </c>
      <c r="L109" s="19">
        <v>34506867.607726797</v>
      </c>
      <c r="M109" s="19">
        <v>6103126.8995718099</v>
      </c>
      <c r="N109" s="19">
        <v>5510067.8447357798</v>
      </c>
      <c r="O109" s="17" t="s">
        <v>23</v>
      </c>
      <c r="P109" s="17" t="s">
        <v>38</v>
      </c>
    </row>
    <row r="110" spans="1:16" ht="15" customHeight="1" x14ac:dyDescent="0.25">
      <c r="A110" s="17" t="s">
        <v>190</v>
      </c>
      <c r="B110" s="17" t="s">
        <v>96</v>
      </c>
      <c r="C110" s="17" t="s">
        <v>27</v>
      </c>
      <c r="D110" s="17" t="s">
        <v>28</v>
      </c>
      <c r="E110" s="17" t="s">
        <v>22</v>
      </c>
      <c r="F110" s="18">
        <v>45659</v>
      </c>
      <c r="G110" s="18">
        <v>45966</v>
      </c>
      <c r="H110" s="19">
        <v>8150000</v>
      </c>
      <c r="I110" s="19">
        <v>550000</v>
      </c>
      <c r="J110" s="19">
        <v>8030000</v>
      </c>
      <c r="K110" s="19">
        <v>10232004.504745901</v>
      </c>
      <c r="L110" s="19">
        <v>9514614.8836031798</v>
      </c>
      <c r="M110" s="19">
        <v>449362.64321555803</v>
      </c>
      <c r="N110" s="19">
        <v>411048.54279084399</v>
      </c>
      <c r="O110" s="17" t="s">
        <v>30</v>
      </c>
      <c r="P110" s="17" t="s">
        <v>24</v>
      </c>
    </row>
    <row r="111" spans="1:16" ht="15" customHeight="1" x14ac:dyDescent="0.25">
      <c r="A111" s="17" t="s">
        <v>191</v>
      </c>
      <c r="B111" s="17" t="s">
        <v>98</v>
      </c>
      <c r="C111" s="17" t="s">
        <v>34</v>
      </c>
      <c r="D111" s="17" t="s">
        <v>35</v>
      </c>
      <c r="E111" s="17" t="s">
        <v>29</v>
      </c>
      <c r="F111" s="18">
        <v>45975</v>
      </c>
      <c r="G111" s="18">
        <v>46264</v>
      </c>
      <c r="H111" s="19">
        <v>23810000</v>
      </c>
      <c r="I111" s="19">
        <v>570000</v>
      </c>
      <c r="J111" s="19">
        <v>24810000</v>
      </c>
      <c r="K111" s="19">
        <v>25246049.5364483</v>
      </c>
      <c r="L111" s="19">
        <v>22408467.3316245</v>
      </c>
      <c r="M111" s="19">
        <v>3167348.8525920301</v>
      </c>
      <c r="N111" s="19">
        <v>2554067.7281899201</v>
      </c>
      <c r="O111" s="17" t="s">
        <v>37</v>
      </c>
      <c r="P111" s="17" t="s">
        <v>31</v>
      </c>
    </row>
    <row r="112" spans="1:16" ht="15" customHeight="1" x14ac:dyDescent="0.25">
      <c r="A112" s="17" t="s">
        <v>192</v>
      </c>
      <c r="B112" s="17" t="s">
        <v>100</v>
      </c>
      <c r="C112" s="17" t="s">
        <v>41</v>
      </c>
      <c r="D112" s="17" t="s">
        <v>42</v>
      </c>
      <c r="E112" s="17" t="s">
        <v>36</v>
      </c>
      <c r="F112" s="18">
        <v>45914</v>
      </c>
      <c r="G112" s="18">
        <v>46766</v>
      </c>
      <c r="H112" s="19">
        <v>57030000</v>
      </c>
      <c r="I112" s="19">
        <v>6420000</v>
      </c>
      <c r="J112" s="19">
        <v>68720000</v>
      </c>
      <c r="K112" s="19">
        <v>66209455.857638396</v>
      </c>
      <c r="L112" s="19">
        <v>63408996.387248702</v>
      </c>
      <c r="M112" s="19">
        <v>10088352.8267146</v>
      </c>
      <c r="N112" s="19">
        <v>8198275.8489958998</v>
      </c>
      <c r="O112" s="17" t="s">
        <v>44</v>
      </c>
      <c r="P112" s="17" t="s">
        <v>38</v>
      </c>
    </row>
    <row r="113" spans="1:16" ht="15" customHeight="1" x14ac:dyDescent="0.25">
      <c r="A113" s="17" t="s">
        <v>193</v>
      </c>
      <c r="B113" s="17" t="s">
        <v>102</v>
      </c>
      <c r="C113" s="17" t="s">
        <v>47</v>
      </c>
      <c r="D113" s="17" t="s">
        <v>48</v>
      </c>
      <c r="E113" s="17" t="s">
        <v>43</v>
      </c>
      <c r="F113" s="18">
        <v>45494</v>
      </c>
      <c r="G113" s="18">
        <v>46296</v>
      </c>
      <c r="H113" s="19">
        <v>30270000</v>
      </c>
      <c r="I113" s="19">
        <v>820000</v>
      </c>
      <c r="J113" s="19">
        <v>31180000</v>
      </c>
      <c r="K113" s="19">
        <v>33951117.6002222</v>
      </c>
      <c r="L113" s="19">
        <v>33600684.152411699</v>
      </c>
      <c r="M113" s="19">
        <v>2319470.5040207999</v>
      </c>
      <c r="N113" s="19">
        <v>1793567.58039494</v>
      </c>
      <c r="O113" s="17" t="s">
        <v>23</v>
      </c>
      <c r="P113" s="17" t="s">
        <v>24</v>
      </c>
    </row>
    <row r="114" spans="1:16" ht="15" customHeight="1" x14ac:dyDescent="0.25">
      <c r="A114" s="17" t="s">
        <v>194</v>
      </c>
      <c r="B114" s="17" t="s">
        <v>104</v>
      </c>
      <c r="C114" s="17" t="s">
        <v>52</v>
      </c>
      <c r="D114" s="17" t="s">
        <v>53</v>
      </c>
      <c r="E114" s="17" t="s">
        <v>49</v>
      </c>
      <c r="F114" s="18">
        <v>45786</v>
      </c>
      <c r="G114" s="18">
        <v>46643</v>
      </c>
      <c r="H114" s="19">
        <v>27100000</v>
      </c>
      <c r="I114" s="19">
        <v>1840000</v>
      </c>
      <c r="J114" s="19">
        <v>30160000</v>
      </c>
      <c r="K114" s="19">
        <v>32713319.6885553</v>
      </c>
      <c r="L114" s="19">
        <v>34450755.729805604</v>
      </c>
      <c r="M114" s="19">
        <v>1960377.3696409001</v>
      </c>
      <c r="N114" s="19">
        <v>1822350.8730898099</v>
      </c>
      <c r="O114" s="17" t="s">
        <v>30</v>
      </c>
      <c r="P114" s="17" t="s">
        <v>31</v>
      </c>
    </row>
    <row r="115" spans="1:16" ht="15" customHeight="1" x14ac:dyDescent="0.25">
      <c r="A115" s="17" t="s">
        <v>195</v>
      </c>
      <c r="B115" s="17" t="s">
        <v>106</v>
      </c>
      <c r="C115" s="17" t="s">
        <v>56</v>
      </c>
      <c r="D115" s="17" t="s">
        <v>57</v>
      </c>
      <c r="E115" s="17" t="s">
        <v>22</v>
      </c>
      <c r="F115" s="18">
        <v>46007</v>
      </c>
      <c r="G115" s="18">
        <v>46702</v>
      </c>
      <c r="H115" s="19">
        <v>5470000</v>
      </c>
      <c r="I115" s="19">
        <v>340000</v>
      </c>
      <c r="J115" s="19">
        <v>5640000</v>
      </c>
      <c r="K115" s="19">
        <v>6368721.0912234699</v>
      </c>
      <c r="L115" s="19">
        <v>4708765.6800000202</v>
      </c>
      <c r="M115" s="19">
        <v>498592.61807862198</v>
      </c>
      <c r="N115" s="19">
        <v>514050.17771215597</v>
      </c>
      <c r="O115" s="17" t="s">
        <v>37</v>
      </c>
      <c r="P115" s="17" t="s">
        <v>38</v>
      </c>
    </row>
    <row r="116" spans="1:16" ht="15" customHeight="1" x14ac:dyDescent="0.25">
      <c r="A116" s="17" t="s">
        <v>196</v>
      </c>
      <c r="B116" s="17" t="s">
        <v>108</v>
      </c>
      <c r="C116" s="17" t="s">
        <v>60</v>
      </c>
      <c r="D116" s="17" t="s">
        <v>27</v>
      </c>
      <c r="E116" s="17" t="s">
        <v>29</v>
      </c>
      <c r="F116" s="18">
        <v>45472</v>
      </c>
      <c r="G116" s="18">
        <v>46329</v>
      </c>
      <c r="H116" s="19">
        <v>49040000</v>
      </c>
      <c r="I116" s="19">
        <v>7830000</v>
      </c>
      <c r="J116" s="19">
        <v>54100000</v>
      </c>
      <c r="K116" s="19">
        <v>54416300.842181697</v>
      </c>
      <c r="L116" s="19">
        <v>46166162.616373099</v>
      </c>
      <c r="M116" s="19">
        <v>12350317.409940001</v>
      </c>
      <c r="N116" s="19">
        <v>13760355.367820401</v>
      </c>
      <c r="O116" s="17" t="s">
        <v>44</v>
      </c>
      <c r="P116" s="17" t="s">
        <v>24</v>
      </c>
    </row>
    <row r="117" spans="1:16" ht="15" customHeight="1" x14ac:dyDescent="0.25">
      <c r="A117" s="17" t="s">
        <v>197</v>
      </c>
      <c r="B117" s="17" t="s">
        <v>110</v>
      </c>
      <c r="C117" s="17" t="s">
        <v>20</v>
      </c>
      <c r="D117" s="17" t="s">
        <v>21</v>
      </c>
      <c r="E117" s="17" t="s">
        <v>36</v>
      </c>
      <c r="F117" s="18">
        <v>45951</v>
      </c>
      <c r="G117" s="18">
        <v>46407</v>
      </c>
      <c r="H117" s="19">
        <v>8390000</v>
      </c>
      <c r="I117" s="19">
        <v>190000</v>
      </c>
      <c r="J117" s="19">
        <v>8680000</v>
      </c>
      <c r="K117" s="19">
        <v>8576039.2454489805</v>
      </c>
      <c r="L117" s="19">
        <v>9591850.5729675703</v>
      </c>
      <c r="M117" s="19">
        <v>1535798.2144136101</v>
      </c>
      <c r="N117" s="19">
        <v>1183693.29901463</v>
      </c>
      <c r="O117" s="17" t="s">
        <v>23</v>
      </c>
      <c r="P117" s="17" t="s">
        <v>31</v>
      </c>
    </row>
    <row r="118" spans="1:16" ht="15" customHeight="1" x14ac:dyDescent="0.25">
      <c r="A118" s="17" t="s">
        <v>198</v>
      </c>
      <c r="B118" s="17" t="s">
        <v>112</v>
      </c>
      <c r="C118" s="17" t="s">
        <v>27</v>
      </c>
      <c r="D118" s="17" t="s">
        <v>28</v>
      </c>
      <c r="E118" s="17" t="s">
        <v>43</v>
      </c>
      <c r="F118" s="18">
        <v>46073</v>
      </c>
      <c r="G118" s="18">
        <v>46867</v>
      </c>
      <c r="H118" s="19">
        <v>10230000</v>
      </c>
      <c r="I118" s="19">
        <v>580000</v>
      </c>
      <c r="J118" s="19">
        <v>11310000</v>
      </c>
      <c r="K118" s="19">
        <v>12491465.3355972</v>
      </c>
      <c r="L118" s="19">
        <v>13079839.3817787</v>
      </c>
      <c r="M118" s="19">
        <v>459055.13689402002</v>
      </c>
      <c r="N118" s="19">
        <v>363456.78946663102</v>
      </c>
      <c r="O118" s="17" t="s">
        <v>30</v>
      </c>
      <c r="P118" s="17" t="s">
        <v>38</v>
      </c>
    </row>
    <row r="119" spans="1:16" ht="15" customHeight="1" x14ac:dyDescent="0.25">
      <c r="A119" s="17" t="s">
        <v>199</v>
      </c>
      <c r="B119" s="17" t="s">
        <v>114</v>
      </c>
      <c r="C119" s="17" t="s">
        <v>34</v>
      </c>
      <c r="D119" s="17" t="s">
        <v>35</v>
      </c>
      <c r="E119" s="17" t="s">
        <v>49</v>
      </c>
      <c r="F119" s="18">
        <v>45543</v>
      </c>
      <c r="G119" s="18">
        <v>46137</v>
      </c>
      <c r="H119" s="19">
        <v>28260000</v>
      </c>
      <c r="I119" s="19">
        <v>4900000</v>
      </c>
      <c r="J119" s="19">
        <v>31040000</v>
      </c>
      <c r="K119" s="19">
        <v>36824789.604644403</v>
      </c>
      <c r="L119" s="19">
        <v>33063406.247167401</v>
      </c>
      <c r="M119" s="19">
        <v>5043046.1020684196</v>
      </c>
      <c r="N119" s="19">
        <v>5148182.9392943401</v>
      </c>
      <c r="O119" s="17" t="s">
        <v>37</v>
      </c>
      <c r="P119" s="17" t="s">
        <v>24</v>
      </c>
    </row>
    <row r="120" spans="1:16" ht="15" customHeight="1" x14ac:dyDescent="0.25">
      <c r="A120" s="17" t="s">
        <v>200</v>
      </c>
      <c r="B120" s="17" t="s">
        <v>116</v>
      </c>
      <c r="C120" s="17" t="s">
        <v>41</v>
      </c>
      <c r="D120" s="17" t="s">
        <v>42</v>
      </c>
      <c r="E120" s="17" t="s">
        <v>22</v>
      </c>
      <c r="F120" s="18">
        <v>45623</v>
      </c>
      <c r="G120" s="18">
        <v>46313</v>
      </c>
      <c r="H120" s="19">
        <v>37240000</v>
      </c>
      <c r="I120" s="19">
        <v>1140000</v>
      </c>
      <c r="J120" s="19">
        <v>36910000</v>
      </c>
      <c r="K120" s="19">
        <v>37308004.269106597</v>
      </c>
      <c r="L120" s="19">
        <v>35990550.362787001</v>
      </c>
      <c r="M120" s="19">
        <v>7539733.2517708195</v>
      </c>
      <c r="N120" s="19">
        <v>7315536.7655644603</v>
      </c>
      <c r="O120" s="17" t="s">
        <v>44</v>
      </c>
      <c r="P120" s="17" t="s">
        <v>31</v>
      </c>
    </row>
    <row r="121" spans="1:16" ht="15" customHeight="1" x14ac:dyDescent="0.25">
      <c r="A121" s="17" t="s">
        <v>201</v>
      </c>
      <c r="B121" s="17" t="s">
        <v>118</v>
      </c>
      <c r="C121" s="17" t="s">
        <v>47</v>
      </c>
      <c r="D121" s="17" t="s">
        <v>48</v>
      </c>
      <c r="E121" s="17" t="s">
        <v>29</v>
      </c>
      <c r="F121" s="18">
        <v>45859</v>
      </c>
      <c r="G121" s="18">
        <v>46226</v>
      </c>
      <c r="H121" s="19">
        <v>21870000</v>
      </c>
      <c r="I121" s="19">
        <v>2780000</v>
      </c>
      <c r="J121" s="19">
        <v>23640000</v>
      </c>
      <c r="K121" s="19">
        <v>28457324.747899901</v>
      </c>
      <c r="L121" s="19">
        <v>28304513.2266578</v>
      </c>
      <c r="M121" s="19">
        <v>1161091.3812772499</v>
      </c>
      <c r="N121" s="19">
        <v>1287167.08466897</v>
      </c>
      <c r="O121" s="17" t="s">
        <v>23</v>
      </c>
      <c r="P121" s="17" t="s">
        <v>38</v>
      </c>
    </row>
    <row r="122" spans="1:16" ht="15" customHeight="1" x14ac:dyDescent="0.25">
      <c r="A122" s="17" t="s">
        <v>202</v>
      </c>
      <c r="B122" s="17" t="s">
        <v>120</v>
      </c>
      <c r="C122" s="17" t="s">
        <v>52</v>
      </c>
      <c r="D122" s="17" t="s">
        <v>53</v>
      </c>
      <c r="E122" s="17" t="s">
        <v>36</v>
      </c>
      <c r="F122" s="18">
        <v>45885</v>
      </c>
      <c r="G122" s="18">
        <v>46537</v>
      </c>
      <c r="H122" s="19">
        <v>21200000</v>
      </c>
      <c r="I122" s="19">
        <v>2920000</v>
      </c>
      <c r="J122" s="19">
        <v>25910000</v>
      </c>
      <c r="K122" s="19">
        <v>26794107.732613999</v>
      </c>
      <c r="L122" s="19">
        <v>25588935.083021998</v>
      </c>
      <c r="M122" s="19">
        <v>3259843.82650284</v>
      </c>
      <c r="N122" s="19">
        <v>3554850.5035760701</v>
      </c>
      <c r="O122" s="17" t="s">
        <v>30</v>
      </c>
      <c r="P122" s="17" t="s">
        <v>24</v>
      </c>
    </row>
    <row r="123" spans="1:16" ht="15" customHeight="1" x14ac:dyDescent="0.25">
      <c r="A123" s="17" t="s">
        <v>203</v>
      </c>
      <c r="B123" s="17" t="s">
        <v>122</v>
      </c>
      <c r="C123" s="17" t="s">
        <v>56</v>
      </c>
      <c r="D123" s="17" t="s">
        <v>57</v>
      </c>
      <c r="E123" s="17" t="s">
        <v>43</v>
      </c>
      <c r="F123" s="18">
        <v>45407</v>
      </c>
      <c r="G123" s="18">
        <v>45897</v>
      </c>
      <c r="H123" s="19">
        <v>5880000</v>
      </c>
      <c r="I123" s="19">
        <v>330000</v>
      </c>
      <c r="J123" s="19">
        <v>6640000</v>
      </c>
      <c r="K123" s="19">
        <v>6424688.4194954298</v>
      </c>
      <c r="L123" s="19">
        <v>5232410.0524279596</v>
      </c>
      <c r="M123" s="19">
        <v>423239.35567947198</v>
      </c>
      <c r="N123" s="19">
        <v>480844.24810572702</v>
      </c>
      <c r="O123" s="17" t="s">
        <v>37</v>
      </c>
      <c r="P123" s="17" t="s">
        <v>31</v>
      </c>
    </row>
    <row r="124" spans="1:16" ht="15" customHeight="1" x14ac:dyDescent="0.25">
      <c r="A124" s="17" t="s">
        <v>204</v>
      </c>
      <c r="B124" s="17" t="s">
        <v>124</v>
      </c>
      <c r="C124" s="17" t="s">
        <v>60</v>
      </c>
      <c r="D124" s="17" t="s">
        <v>27</v>
      </c>
      <c r="E124" s="17" t="s">
        <v>49</v>
      </c>
      <c r="F124" s="18">
        <v>45845</v>
      </c>
      <c r="G124" s="18">
        <v>46277</v>
      </c>
      <c r="H124" s="19">
        <v>28750000</v>
      </c>
      <c r="I124" s="19">
        <v>5090000</v>
      </c>
      <c r="J124" s="19">
        <v>34070000</v>
      </c>
      <c r="K124" s="19">
        <v>32840843.638668399</v>
      </c>
      <c r="L124" s="19">
        <v>31079359.729180399</v>
      </c>
      <c r="M124" s="19">
        <v>5059704.2460237602</v>
      </c>
      <c r="N124" s="19">
        <v>4901015.8968263697</v>
      </c>
      <c r="O124" s="17" t="s">
        <v>44</v>
      </c>
      <c r="P124" s="17" t="s">
        <v>38</v>
      </c>
    </row>
    <row r="125" spans="1:16" ht="15" customHeight="1" x14ac:dyDescent="0.25">
      <c r="A125" s="17" t="s">
        <v>205</v>
      </c>
      <c r="B125" s="17" t="s">
        <v>19</v>
      </c>
      <c r="C125" s="17" t="s">
        <v>20</v>
      </c>
      <c r="D125" s="17" t="s">
        <v>21</v>
      </c>
      <c r="E125" s="17" t="s">
        <v>22</v>
      </c>
      <c r="F125" s="18">
        <v>45759</v>
      </c>
      <c r="G125" s="18">
        <v>46045</v>
      </c>
      <c r="H125" s="19">
        <v>28300000</v>
      </c>
      <c r="I125" s="19">
        <v>130000</v>
      </c>
      <c r="J125" s="19">
        <v>30210000</v>
      </c>
      <c r="K125" s="19">
        <v>30298356.367533602</v>
      </c>
      <c r="L125" s="19">
        <v>27851574.485762</v>
      </c>
      <c r="M125" s="19">
        <v>4694909.4391016103</v>
      </c>
      <c r="N125" s="19">
        <v>4726269.8906674404</v>
      </c>
      <c r="O125" s="17" t="s">
        <v>23</v>
      </c>
      <c r="P125" s="17" t="s">
        <v>24</v>
      </c>
    </row>
    <row r="126" spans="1:16" ht="15" customHeight="1" x14ac:dyDescent="0.25">
      <c r="A126" s="17" t="s">
        <v>206</v>
      </c>
      <c r="B126" s="17" t="s">
        <v>26</v>
      </c>
      <c r="C126" s="17" t="s">
        <v>27</v>
      </c>
      <c r="D126" s="17" t="s">
        <v>28</v>
      </c>
      <c r="E126" s="17" t="s">
        <v>29</v>
      </c>
      <c r="F126" s="18">
        <v>45530</v>
      </c>
      <c r="G126" s="18">
        <v>46164</v>
      </c>
      <c r="H126" s="19">
        <v>12650000</v>
      </c>
      <c r="I126" s="19">
        <v>770000</v>
      </c>
      <c r="J126" s="19">
        <v>14060000</v>
      </c>
      <c r="K126" s="19">
        <v>13427398.223910701</v>
      </c>
      <c r="L126" s="19">
        <v>13776703.8126694</v>
      </c>
      <c r="M126" s="19">
        <v>2839166.8552938499</v>
      </c>
      <c r="N126" s="19">
        <v>2626282.8360294099</v>
      </c>
      <c r="O126" s="17" t="s">
        <v>30</v>
      </c>
      <c r="P126" s="17" t="s">
        <v>31</v>
      </c>
    </row>
    <row r="127" spans="1:16" ht="15" customHeight="1" x14ac:dyDescent="0.25">
      <c r="A127" s="17" t="s">
        <v>207</v>
      </c>
      <c r="B127" s="17" t="s">
        <v>33</v>
      </c>
      <c r="C127" s="17" t="s">
        <v>34</v>
      </c>
      <c r="D127" s="17" t="s">
        <v>35</v>
      </c>
      <c r="E127" s="17" t="s">
        <v>36</v>
      </c>
      <c r="F127" s="18">
        <v>45662</v>
      </c>
      <c r="G127" s="18">
        <v>46517</v>
      </c>
      <c r="H127" s="19">
        <v>37670000</v>
      </c>
      <c r="I127" s="19">
        <v>2240000</v>
      </c>
      <c r="J127" s="19">
        <v>41420000</v>
      </c>
      <c r="K127" s="19">
        <v>46595697.586158797</v>
      </c>
      <c r="L127" s="19">
        <v>39805302.405710302</v>
      </c>
      <c r="M127" s="19">
        <v>2440506.7106730202</v>
      </c>
      <c r="N127" s="19">
        <v>1859990.417468</v>
      </c>
      <c r="O127" s="17" t="s">
        <v>37</v>
      </c>
      <c r="P127" s="17" t="s">
        <v>38</v>
      </c>
    </row>
    <row r="128" spans="1:16" ht="15" customHeight="1" x14ac:dyDescent="0.25">
      <c r="A128" s="17" t="s">
        <v>208</v>
      </c>
      <c r="B128" s="17" t="s">
        <v>40</v>
      </c>
      <c r="C128" s="17" t="s">
        <v>41</v>
      </c>
      <c r="D128" s="17" t="s">
        <v>42</v>
      </c>
      <c r="E128" s="17" t="s">
        <v>43</v>
      </c>
      <c r="F128" s="18">
        <v>45426</v>
      </c>
      <c r="G128" s="18">
        <v>45827</v>
      </c>
      <c r="H128" s="19">
        <v>47050000</v>
      </c>
      <c r="I128" s="19">
        <v>7630000</v>
      </c>
      <c r="J128" s="19">
        <v>53430000</v>
      </c>
      <c r="K128" s="19">
        <v>54915440.3018016</v>
      </c>
      <c r="L128" s="19">
        <v>47392510.566749297</v>
      </c>
      <c r="M128" s="19">
        <v>11724906.4916353</v>
      </c>
      <c r="N128" s="19">
        <v>12387820.6940658</v>
      </c>
      <c r="O128" s="17" t="s">
        <v>44</v>
      </c>
      <c r="P128" s="17" t="s">
        <v>24</v>
      </c>
    </row>
    <row r="129" spans="1:16" ht="15" customHeight="1" x14ac:dyDescent="0.25">
      <c r="A129" s="17" t="s">
        <v>209</v>
      </c>
      <c r="B129" s="17" t="s">
        <v>46</v>
      </c>
      <c r="C129" s="17" t="s">
        <v>47</v>
      </c>
      <c r="D129" s="17" t="s">
        <v>48</v>
      </c>
      <c r="E129" s="17" t="s">
        <v>49</v>
      </c>
      <c r="F129" s="18">
        <v>45413</v>
      </c>
      <c r="G129" s="18">
        <v>45621</v>
      </c>
      <c r="H129" s="19">
        <v>18370000</v>
      </c>
      <c r="I129" s="19">
        <v>1890000</v>
      </c>
      <c r="J129" s="19">
        <v>21790000</v>
      </c>
      <c r="K129" s="19">
        <v>19265472.394835498</v>
      </c>
      <c r="L129" s="19">
        <v>20050051.0132595</v>
      </c>
      <c r="M129" s="19">
        <v>4077586.95480564</v>
      </c>
      <c r="N129" s="19">
        <v>4148066.0059971199</v>
      </c>
      <c r="O129" s="17" t="s">
        <v>23</v>
      </c>
      <c r="P129" s="17" t="s">
        <v>31</v>
      </c>
    </row>
    <row r="130" spans="1:16" ht="15" customHeight="1" x14ac:dyDescent="0.25">
      <c r="A130" s="17" t="s">
        <v>210</v>
      </c>
      <c r="B130" s="17" t="s">
        <v>51</v>
      </c>
      <c r="C130" s="17" t="s">
        <v>52</v>
      </c>
      <c r="D130" s="17" t="s">
        <v>53</v>
      </c>
      <c r="E130" s="17" t="s">
        <v>22</v>
      </c>
      <c r="F130" s="18">
        <v>45556</v>
      </c>
      <c r="G130" s="18">
        <v>46162</v>
      </c>
      <c r="H130" s="19">
        <v>23610000</v>
      </c>
      <c r="I130" s="19">
        <v>1410000</v>
      </c>
      <c r="J130" s="19">
        <v>26150000</v>
      </c>
      <c r="K130" s="19">
        <v>28499018.750545401</v>
      </c>
      <c r="L130" s="19">
        <v>26061236.622451302</v>
      </c>
      <c r="M130" s="19">
        <v>2336428.4145256002</v>
      </c>
      <c r="N130" s="19">
        <v>1762559.9370957401</v>
      </c>
      <c r="O130" s="17" t="s">
        <v>30</v>
      </c>
      <c r="P130" s="17" t="s">
        <v>38</v>
      </c>
    </row>
    <row r="131" spans="1:16" ht="15" customHeight="1" x14ac:dyDescent="0.25">
      <c r="A131" s="17" t="s">
        <v>211</v>
      </c>
      <c r="B131" s="17" t="s">
        <v>55</v>
      </c>
      <c r="C131" s="17" t="s">
        <v>56</v>
      </c>
      <c r="D131" s="17" t="s">
        <v>57</v>
      </c>
      <c r="E131" s="17" t="s">
        <v>29</v>
      </c>
      <c r="F131" s="18">
        <v>45760</v>
      </c>
      <c r="G131" s="18">
        <v>46620</v>
      </c>
      <c r="H131" s="19">
        <v>9310000</v>
      </c>
      <c r="I131" s="19">
        <v>950000</v>
      </c>
      <c r="J131" s="19">
        <v>10470000</v>
      </c>
      <c r="K131" s="19">
        <v>10909860.528484801</v>
      </c>
      <c r="L131" s="19">
        <v>9223818.5785153601</v>
      </c>
      <c r="M131" s="19">
        <v>884005.80426055798</v>
      </c>
      <c r="N131" s="19">
        <v>864107.00196112902</v>
      </c>
      <c r="O131" s="17" t="s">
        <v>37</v>
      </c>
      <c r="P131" s="17" t="s">
        <v>24</v>
      </c>
    </row>
    <row r="132" spans="1:16" ht="15" customHeight="1" x14ac:dyDescent="0.25">
      <c r="A132" s="17" t="s">
        <v>212</v>
      </c>
      <c r="B132" s="17" t="s">
        <v>59</v>
      </c>
      <c r="C132" s="17" t="s">
        <v>60</v>
      </c>
      <c r="D132" s="17" t="s">
        <v>27</v>
      </c>
      <c r="E132" s="17" t="s">
        <v>36</v>
      </c>
      <c r="F132" s="18">
        <v>45830</v>
      </c>
      <c r="G132" s="18">
        <v>46062</v>
      </c>
      <c r="H132" s="19">
        <v>37370000</v>
      </c>
      <c r="I132" s="19">
        <v>3790000</v>
      </c>
      <c r="J132" s="19">
        <v>41540000</v>
      </c>
      <c r="K132" s="19">
        <v>41940134.296837397</v>
      </c>
      <c r="L132" s="19">
        <v>39583968.773304701</v>
      </c>
      <c r="M132" s="19">
        <v>3290130.89633284</v>
      </c>
      <c r="N132" s="19">
        <v>3682300.00178973</v>
      </c>
      <c r="O132" s="17" t="s">
        <v>44</v>
      </c>
      <c r="P132" s="17" t="s">
        <v>31</v>
      </c>
    </row>
    <row r="133" spans="1:16" ht="15" customHeight="1" x14ac:dyDescent="0.25">
      <c r="A133" s="17" t="s">
        <v>213</v>
      </c>
      <c r="B133" s="17" t="s">
        <v>62</v>
      </c>
      <c r="C133" s="17" t="s">
        <v>20</v>
      </c>
      <c r="D133" s="17" t="s">
        <v>21</v>
      </c>
      <c r="E133" s="17" t="s">
        <v>43</v>
      </c>
      <c r="F133" s="18">
        <v>45904</v>
      </c>
      <c r="G133" s="18">
        <v>46780</v>
      </c>
      <c r="H133" s="19">
        <v>11320000</v>
      </c>
      <c r="I133" s="19">
        <v>930000</v>
      </c>
      <c r="J133" s="19">
        <v>12980000</v>
      </c>
      <c r="K133" s="19">
        <v>13387229.742738299</v>
      </c>
      <c r="L133" s="19">
        <v>14302406.587965401</v>
      </c>
      <c r="M133" s="19">
        <v>1224759.0926862999</v>
      </c>
      <c r="N133" s="19">
        <v>925270.47445141198</v>
      </c>
      <c r="O133" s="17" t="s">
        <v>23</v>
      </c>
      <c r="P133" s="17" t="s">
        <v>38</v>
      </c>
    </row>
    <row r="134" spans="1:16" ht="15" customHeight="1" x14ac:dyDescent="0.25">
      <c r="A134" s="17" t="s">
        <v>214</v>
      </c>
      <c r="B134" s="17" t="s">
        <v>64</v>
      </c>
      <c r="C134" s="17" t="s">
        <v>27</v>
      </c>
      <c r="D134" s="17" t="s">
        <v>28</v>
      </c>
      <c r="E134" s="17" t="s">
        <v>49</v>
      </c>
      <c r="F134" s="18">
        <v>45630</v>
      </c>
      <c r="G134" s="18">
        <v>46115</v>
      </c>
      <c r="H134" s="19">
        <v>14310000</v>
      </c>
      <c r="I134" s="19">
        <v>2410000</v>
      </c>
      <c r="J134" s="19">
        <v>15910000</v>
      </c>
      <c r="K134" s="19">
        <v>17689070.295152701</v>
      </c>
      <c r="L134" s="19">
        <v>19325806.087461099</v>
      </c>
      <c r="M134" s="19">
        <v>2824941.8620233499</v>
      </c>
      <c r="N134" s="19">
        <v>2188750.10924344</v>
      </c>
      <c r="O134" s="17" t="s">
        <v>30</v>
      </c>
      <c r="P134" s="17" t="s">
        <v>24</v>
      </c>
    </row>
    <row r="135" spans="1:16" ht="15" customHeight="1" x14ac:dyDescent="0.25">
      <c r="A135" s="17" t="s">
        <v>215</v>
      </c>
      <c r="B135" s="17" t="s">
        <v>66</v>
      </c>
      <c r="C135" s="17" t="s">
        <v>34</v>
      </c>
      <c r="D135" s="17" t="s">
        <v>35</v>
      </c>
      <c r="E135" s="17" t="s">
        <v>22</v>
      </c>
      <c r="F135" s="18">
        <v>45840</v>
      </c>
      <c r="G135" s="18">
        <v>46456</v>
      </c>
      <c r="H135" s="19">
        <v>31420000</v>
      </c>
      <c r="I135" s="19">
        <v>1480000</v>
      </c>
      <c r="J135" s="19">
        <v>31770000</v>
      </c>
      <c r="K135" s="19">
        <v>36311508.9942635</v>
      </c>
      <c r="L135" s="19">
        <v>30459400.338000201</v>
      </c>
      <c r="M135" s="19">
        <v>3391805.3421647898</v>
      </c>
      <c r="N135" s="19">
        <v>2895969.79245095</v>
      </c>
      <c r="O135" s="17" t="s">
        <v>37</v>
      </c>
      <c r="P135" s="17" t="s">
        <v>31</v>
      </c>
    </row>
    <row r="136" spans="1:16" ht="15" customHeight="1" x14ac:dyDescent="0.25">
      <c r="A136" s="17" t="s">
        <v>216</v>
      </c>
      <c r="B136" s="17" t="s">
        <v>68</v>
      </c>
      <c r="C136" s="17" t="s">
        <v>41</v>
      </c>
      <c r="D136" s="17" t="s">
        <v>42</v>
      </c>
      <c r="E136" s="17" t="s">
        <v>29</v>
      </c>
      <c r="F136" s="18">
        <v>45965</v>
      </c>
      <c r="G136" s="18">
        <v>46272</v>
      </c>
      <c r="H136" s="19">
        <v>26540000</v>
      </c>
      <c r="I136" s="19">
        <v>1310000</v>
      </c>
      <c r="J136" s="19">
        <v>28950000</v>
      </c>
      <c r="K136" s="19">
        <v>27325599.460081398</v>
      </c>
      <c r="L136" s="19">
        <v>28476868.254400201</v>
      </c>
      <c r="M136" s="19">
        <v>5177331.1849734699</v>
      </c>
      <c r="N136" s="19">
        <v>3972273.5239592199</v>
      </c>
      <c r="O136" s="17" t="s">
        <v>44</v>
      </c>
      <c r="P136" s="17" t="s">
        <v>38</v>
      </c>
    </row>
    <row r="137" spans="1:16" ht="15" customHeight="1" x14ac:dyDescent="0.25">
      <c r="A137" s="17" t="s">
        <v>217</v>
      </c>
      <c r="B137" s="17" t="s">
        <v>70</v>
      </c>
      <c r="C137" s="17" t="s">
        <v>47</v>
      </c>
      <c r="D137" s="17" t="s">
        <v>48</v>
      </c>
      <c r="E137" s="17" t="s">
        <v>36</v>
      </c>
      <c r="F137" s="18">
        <v>45976</v>
      </c>
      <c r="G137" s="18">
        <v>46209</v>
      </c>
      <c r="H137" s="19">
        <v>18250000</v>
      </c>
      <c r="I137" s="19">
        <v>30000</v>
      </c>
      <c r="J137" s="19">
        <v>17780000</v>
      </c>
      <c r="K137" s="19">
        <v>18928682.007707201</v>
      </c>
      <c r="L137" s="19">
        <v>18604475.737803899</v>
      </c>
      <c r="M137" s="19">
        <v>3048103.72633004</v>
      </c>
      <c r="N137" s="19">
        <v>3029838.2062826501</v>
      </c>
      <c r="O137" s="17" t="s">
        <v>23</v>
      </c>
      <c r="P137" s="17" t="s">
        <v>24</v>
      </c>
    </row>
    <row r="138" spans="1:16" ht="15" customHeight="1" x14ac:dyDescent="0.25">
      <c r="A138" s="17" t="s">
        <v>218</v>
      </c>
      <c r="B138" s="17" t="s">
        <v>72</v>
      </c>
      <c r="C138" s="17" t="s">
        <v>52</v>
      </c>
      <c r="D138" s="17" t="s">
        <v>53</v>
      </c>
      <c r="E138" s="17" t="s">
        <v>43</v>
      </c>
      <c r="F138" s="18">
        <v>45792</v>
      </c>
      <c r="G138" s="18">
        <v>46284</v>
      </c>
      <c r="H138" s="19">
        <v>12240000</v>
      </c>
      <c r="I138" s="19">
        <v>290000</v>
      </c>
      <c r="J138" s="19">
        <v>11670000</v>
      </c>
      <c r="K138" s="19">
        <v>13619399.176724199</v>
      </c>
      <c r="L138" s="19">
        <v>13008593.024655201</v>
      </c>
      <c r="M138" s="19">
        <v>1758971.4943262199</v>
      </c>
      <c r="N138" s="19">
        <v>1782868.20371094</v>
      </c>
      <c r="O138" s="17" t="s">
        <v>30</v>
      </c>
      <c r="P138" s="17" t="s">
        <v>31</v>
      </c>
    </row>
    <row r="139" spans="1:16" ht="15" customHeight="1" x14ac:dyDescent="0.25">
      <c r="A139" s="17" t="s">
        <v>219</v>
      </c>
      <c r="B139" s="17" t="s">
        <v>74</v>
      </c>
      <c r="C139" s="17" t="s">
        <v>56</v>
      </c>
      <c r="D139" s="17" t="s">
        <v>57</v>
      </c>
      <c r="E139" s="17" t="s">
        <v>49</v>
      </c>
      <c r="F139" s="18">
        <v>45931</v>
      </c>
      <c r="G139" s="18">
        <v>46661</v>
      </c>
      <c r="H139" s="19">
        <v>2970000</v>
      </c>
      <c r="I139" s="19">
        <v>330000</v>
      </c>
      <c r="J139" s="19">
        <v>3190000</v>
      </c>
      <c r="K139" s="19">
        <v>3323038.0211710501</v>
      </c>
      <c r="L139" s="19">
        <v>2664504.42510253</v>
      </c>
      <c r="M139" s="19">
        <v>436017.48989667202</v>
      </c>
      <c r="N139" s="19">
        <v>491606.37549624703</v>
      </c>
      <c r="O139" s="17" t="s">
        <v>37</v>
      </c>
      <c r="P139" s="17" t="s">
        <v>38</v>
      </c>
    </row>
    <row r="140" spans="1:16" ht="15" customHeight="1" x14ac:dyDescent="0.25">
      <c r="A140" s="17" t="s">
        <v>220</v>
      </c>
      <c r="B140" s="17" t="s">
        <v>76</v>
      </c>
      <c r="C140" s="17" t="s">
        <v>60</v>
      </c>
      <c r="D140" s="17" t="s">
        <v>27</v>
      </c>
      <c r="E140" s="17" t="s">
        <v>22</v>
      </c>
      <c r="F140" s="18">
        <v>45474</v>
      </c>
      <c r="G140" s="18">
        <v>45996</v>
      </c>
      <c r="H140" s="19">
        <v>38760000</v>
      </c>
      <c r="I140" s="19">
        <v>1820000</v>
      </c>
      <c r="J140" s="19">
        <v>40710000</v>
      </c>
      <c r="K140" s="19">
        <v>40670553.616675898</v>
      </c>
      <c r="L140" s="19">
        <v>36647451.111504503</v>
      </c>
      <c r="M140" s="19">
        <v>6024712.9973756503</v>
      </c>
      <c r="N140" s="19">
        <v>6530329.8327691397</v>
      </c>
      <c r="O140" s="17" t="s">
        <v>44</v>
      </c>
      <c r="P140" s="17" t="s">
        <v>24</v>
      </c>
    </row>
    <row r="141" spans="1:16" ht="15" customHeight="1" x14ac:dyDescent="0.25">
      <c r="A141" s="17" t="s">
        <v>221</v>
      </c>
      <c r="B141" s="17" t="s">
        <v>78</v>
      </c>
      <c r="C141" s="17" t="s">
        <v>20</v>
      </c>
      <c r="D141" s="17" t="s">
        <v>21</v>
      </c>
      <c r="E141" s="17" t="s">
        <v>29</v>
      </c>
      <c r="F141" s="18">
        <v>45515</v>
      </c>
      <c r="G141" s="18">
        <v>45963</v>
      </c>
      <c r="H141" s="19">
        <v>10210000</v>
      </c>
      <c r="I141" s="19">
        <v>1290000</v>
      </c>
      <c r="J141" s="19">
        <v>10880000</v>
      </c>
      <c r="K141" s="19">
        <v>12692581.4653234</v>
      </c>
      <c r="L141" s="19">
        <v>14407899.025592901</v>
      </c>
      <c r="M141" s="19">
        <v>649393.58394665399</v>
      </c>
      <c r="N141" s="19">
        <v>499305.14821200701</v>
      </c>
      <c r="O141" s="17" t="s">
        <v>23</v>
      </c>
      <c r="P141" s="17" t="s">
        <v>31</v>
      </c>
    </row>
    <row r="142" spans="1:16" ht="15" customHeight="1" x14ac:dyDescent="0.25">
      <c r="A142" s="17" t="s">
        <v>222</v>
      </c>
      <c r="B142" s="17" t="s">
        <v>80</v>
      </c>
      <c r="C142" s="17" t="s">
        <v>27</v>
      </c>
      <c r="D142" s="17" t="s">
        <v>28</v>
      </c>
      <c r="E142" s="17" t="s">
        <v>36</v>
      </c>
      <c r="F142" s="18">
        <v>45730</v>
      </c>
      <c r="G142" s="18">
        <v>46405</v>
      </c>
      <c r="H142" s="19">
        <v>13420000</v>
      </c>
      <c r="I142" s="19">
        <v>2150000</v>
      </c>
      <c r="J142" s="19">
        <v>15050000</v>
      </c>
      <c r="K142" s="19">
        <v>15605295.997718301</v>
      </c>
      <c r="L142" s="19">
        <v>15521027.052964499</v>
      </c>
      <c r="M142" s="19">
        <v>3045756.2937459</v>
      </c>
      <c r="N142" s="19">
        <v>2510039.7124542999</v>
      </c>
      <c r="O142" s="17" t="s">
        <v>30</v>
      </c>
      <c r="P142" s="17" t="s">
        <v>38</v>
      </c>
    </row>
    <row r="143" spans="1:16" ht="15" customHeight="1" x14ac:dyDescent="0.25">
      <c r="A143" s="17" t="s">
        <v>223</v>
      </c>
      <c r="B143" s="17" t="s">
        <v>82</v>
      </c>
      <c r="C143" s="17" t="s">
        <v>34</v>
      </c>
      <c r="D143" s="17" t="s">
        <v>35</v>
      </c>
      <c r="E143" s="17" t="s">
        <v>43</v>
      </c>
      <c r="F143" s="18">
        <v>45862</v>
      </c>
      <c r="G143" s="18">
        <v>46403</v>
      </c>
      <c r="H143" s="19">
        <v>15430000</v>
      </c>
      <c r="I143" s="19">
        <v>1210000</v>
      </c>
      <c r="J143" s="19">
        <v>17140000</v>
      </c>
      <c r="K143" s="19">
        <v>18435164.1972881</v>
      </c>
      <c r="L143" s="19">
        <v>15366483.732969699</v>
      </c>
      <c r="M143" s="19">
        <v>2330059.7150875898</v>
      </c>
      <c r="N143" s="19">
        <v>2408603.7871345901</v>
      </c>
      <c r="O143" s="17" t="s">
        <v>37</v>
      </c>
      <c r="P143" s="17" t="s">
        <v>24</v>
      </c>
    </row>
    <row r="144" spans="1:16" ht="15" customHeight="1" x14ac:dyDescent="0.25">
      <c r="A144" s="17" t="s">
        <v>224</v>
      </c>
      <c r="B144" s="17" t="s">
        <v>84</v>
      </c>
      <c r="C144" s="17" t="s">
        <v>41</v>
      </c>
      <c r="D144" s="17" t="s">
        <v>42</v>
      </c>
      <c r="E144" s="17" t="s">
        <v>49</v>
      </c>
      <c r="F144" s="18">
        <v>45526</v>
      </c>
      <c r="G144" s="18">
        <v>45865</v>
      </c>
      <c r="H144" s="19">
        <v>58670000</v>
      </c>
      <c r="I144" s="19">
        <v>6440000</v>
      </c>
      <c r="J144" s="19">
        <v>63100000</v>
      </c>
      <c r="K144" s="19">
        <v>71484899.799355596</v>
      </c>
      <c r="L144" s="19">
        <v>64316408.2976835</v>
      </c>
      <c r="M144" s="19">
        <v>3278770.36495353</v>
      </c>
      <c r="N144" s="19">
        <v>3650757.2027698401</v>
      </c>
      <c r="O144" s="17" t="s">
        <v>44</v>
      </c>
      <c r="P144" s="17" t="s">
        <v>31</v>
      </c>
    </row>
    <row r="145" spans="1:16" ht="15" customHeight="1" x14ac:dyDescent="0.25">
      <c r="A145" s="17" t="s">
        <v>225</v>
      </c>
      <c r="B145" s="17" t="s">
        <v>86</v>
      </c>
      <c r="C145" s="17" t="s">
        <v>47</v>
      </c>
      <c r="D145" s="17" t="s">
        <v>48</v>
      </c>
      <c r="E145" s="17" t="s">
        <v>22</v>
      </c>
      <c r="F145" s="18">
        <v>45438</v>
      </c>
      <c r="G145" s="18">
        <v>45932</v>
      </c>
      <c r="H145" s="19">
        <v>17330000</v>
      </c>
      <c r="I145" s="19">
        <v>0</v>
      </c>
      <c r="J145" s="19">
        <v>18200000</v>
      </c>
      <c r="K145" s="19">
        <v>17577485.7690241</v>
      </c>
      <c r="L145" s="19">
        <v>16045708.086346401</v>
      </c>
      <c r="M145" s="19">
        <v>2108751.0768038598</v>
      </c>
      <c r="N145" s="19">
        <v>2043885.1431119801</v>
      </c>
      <c r="O145" s="17" t="s">
        <v>23</v>
      </c>
      <c r="P145" s="17" t="s">
        <v>38</v>
      </c>
    </row>
    <row r="146" spans="1:16" ht="15" customHeight="1" x14ac:dyDescent="0.25">
      <c r="A146" s="17" t="s">
        <v>226</v>
      </c>
      <c r="B146" s="17" t="s">
        <v>88</v>
      </c>
      <c r="C146" s="17" t="s">
        <v>52</v>
      </c>
      <c r="D146" s="17" t="s">
        <v>53</v>
      </c>
      <c r="E146" s="17" t="s">
        <v>29</v>
      </c>
      <c r="F146" s="18">
        <v>45846</v>
      </c>
      <c r="G146" s="18">
        <v>46084</v>
      </c>
      <c r="H146" s="19">
        <v>20830000</v>
      </c>
      <c r="I146" s="19">
        <v>1230000</v>
      </c>
      <c r="J146" s="19">
        <v>21070000</v>
      </c>
      <c r="K146" s="19">
        <v>26400389.362494301</v>
      </c>
      <c r="L146" s="19">
        <v>23748595.573328</v>
      </c>
      <c r="M146" s="19">
        <v>1303851.76285237</v>
      </c>
      <c r="N146" s="19">
        <v>1413806.7828007899</v>
      </c>
      <c r="O146" s="17" t="s">
        <v>30</v>
      </c>
      <c r="P146" s="17" t="s">
        <v>24</v>
      </c>
    </row>
    <row r="147" spans="1:16" ht="15" customHeight="1" x14ac:dyDescent="0.25">
      <c r="A147" s="17" t="s">
        <v>227</v>
      </c>
      <c r="B147" s="17" t="s">
        <v>90</v>
      </c>
      <c r="C147" s="17" t="s">
        <v>56</v>
      </c>
      <c r="D147" s="17" t="s">
        <v>57</v>
      </c>
      <c r="E147" s="17" t="s">
        <v>36</v>
      </c>
      <c r="F147" s="18">
        <v>45977</v>
      </c>
      <c r="G147" s="18">
        <v>46823</v>
      </c>
      <c r="H147" s="19">
        <v>10650000</v>
      </c>
      <c r="I147" s="19">
        <v>50000</v>
      </c>
      <c r="J147" s="19">
        <v>10960000</v>
      </c>
      <c r="K147" s="19">
        <v>11196006.2215805</v>
      </c>
      <c r="L147" s="19">
        <v>10084852.489372199</v>
      </c>
      <c r="M147" s="19">
        <v>907588.42155052896</v>
      </c>
      <c r="N147" s="19">
        <v>711175.88813720795</v>
      </c>
      <c r="O147" s="17" t="s">
        <v>37</v>
      </c>
      <c r="P147" s="17" t="s">
        <v>31</v>
      </c>
    </row>
    <row r="148" spans="1:16" ht="15" customHeight="1" x14ac:dyDescent="0.25">
      <c r="A148" s="17" t="s">
        <v>228</v>
      </c>
      <c r="B148" s="17" t="s">
        <v>92</v>
      </c>
      <c r="C148" s="17" t="s">
        <v>60</v>
      </c>
      <c r="D148" s="17" t="s">
        <v>27</v>
      </c>
      <c r="E148" s="17" t="s">
        <v>43</v>
      </c>
      <c r="F148" s="18">
        <v>45400</v>
      </c>
      <c r="G148" s="18">
        <v>45638</v>
      </c>
      <c r="H148" s="19">
        <v>32980000</v>
      </c>
      <c r="I148" s="19">
        <v>3820000</v>
      </c>
      <c r="J148" s="19">
        <v>39220000</v>
      </c>
      <c r="K148" s="19">
        <v>34696126.0133112</v>
      </c>
      <c r="L148" s="19">
        <v>29268319.211095799</v>
      </c>
      <c r="M148" s="19">
        <v>8036593.0651996098</v>
      </c>
      <c r="N148" s="19">
        <v>7681609.6007762104</v>
      </c>
      <c r="O148" s="17" t="s">
        <v>44</v>
      </c>
      <c r="P148" s="17" t="s">
        <v>38</v>
      </c>
    </row>
    <row r="149" spans="1:16" ht="15" customHeight="1" x14ac:dyDescent="0.25">
      <c r="A149" s="17" t="s">
        <v>229</v>
      </c>
      <c r="B149" s="17" t="s">
        <v>94</v>
      </c>
      <c r="C149" s="17" t="s">
        <v>20</v>
      </c>
      <c r="D149" s="17" t="s">
        <v>21</v>
      </c>
      <c r="E149" s="17" t="s">
        <v>49</v>
      </c>
      <c r="F149" s="18">
        <v>45725</v>
      </c>
      <c r="G149" s="18">
        <v>46139</v>
      </c>
      <c r="H149" s="19">
        <v>9260000</v>
      </c>
      <c r="I149" s="19">
        <v>680000</v>
      </c>
      <c r="J149" s="19">
        <v>9490000</v>
      </c>
      <c r="K149" s="19">
        <v>10292902.3972259</v>
      </c>
      <c r="L149" s="19">
        <v>10012274.0588615</v>
      </c>
      <c r="M149" s="19">
        <v>1728054.69021644</v>
      </c>
      <c r="N149" s="19">
        <v>1568044.93532122</v>
      </c>
      <c r="O149" s="17" t="s">
        <v>23</v>
      </c>
      <c r="P149" s="17" t="s">
        <v>24</v>
      </c>
    </row>
    <row r="150" spans="1:16" ht="15" customHeight="1" x14ac:dyDescent="0.25">
      <c r="A150" s="17" t="s">
        <v>230</v>
      </c>
      <c r="B150" s="17" t="s">
        <v>96</v>
      </c>
      <c r="C150" s="17" t="s">
        <v>27</v>
      </c>
      <c r="D150" s="17" t="s">
        <v>28</v>
      </c>
      <c r="E150" s="17" t="s">
        <v>22</v>
      </c>
      <c r="F150" s="18">
        <v>45718</v>
      </c>
      <c r="G150" s="18">
        <v>45982</v>
      </c>
      <c r="H150" s="19">
        <v>17690000</v>
      </c>
      <c r="I150" s="19">
        <v>2850000</v>
      </c>
      <c r="J150" s="19">
        <v>21860000</v>
      </c>
      <c r="K150" s="19">
        <v>19389303.244608901</v>
      </c>
      <c r="L150" s="19">
        <v>18081585.1132828</v>
      </c>
      <c r="M150" s="19">
        <v>4441680.32370569</v>
      </c>
      <c r="N150" s="19">
        <v>4999990.65023751</v>
      </c>
      <c r="O150" s="17" t="s">
        <v>30</v>
      </c>
      <c r="P150" s="17" t="s">
        <v>31</v>
      </c>
    </row>
    <row r="151" spans="1:16" ht="15" customHeight="1" x14ac:dyDescent="0.25">
      <c r="A151" s="17" t="s">
        <v>231</v>
      </c>
      <c r="B151" s="17" t="s">
        <v>98</v>
      </c>
      <c r="C151" s="17" t="s">
        <v>34</v>
      </c>
      <c r="D151" s="17" t="s">
        <v>35</v>
      </c>
      <c r="E151" s="17" t="s">
        <v>29</v>
      </c>
      <c r="F151" s="18">
        <v>45782</v>
      </c>
      <c r="G151" s="18">
        <v>46339</v>
      </c>
      <c r="H151" s="19">
        <v>23150000</v>
      </c>
      <c r="I151" s="19">
        <v>1880000</v>
      </c>
      <c r="J151" s="19">
        <v>26340000</v>
      </c>
      <c r="K151" s="19">
        <v>26953968.1252442</v>
      </c>
      <c r="L151" s="19">
        <v>21692196.436531499</v>
      </c>
      <c r="M151" s="19">
        <v>3379941.8962243199</v>
      </c>
      <c r="N151" s="19">
        <v>3659394.8833004399</v>
      </c>
      <c r="O151" s="17" t="s">
        <v>37</v>
      </c>
      <c r="P151" s="17" t="s">
        <v>38</v>
      </c>
    </row>
    <row r="152" spans="1:16" ht="15" customHeight="1" x14ac:dyDescent="0.25">
      <c r="A152" s="17" t="s">
        <v>232</v>
      </c>
      <c r="B152" s="17" t="s">
        <v>100</v>
      </c>
      <c r="C152" s="17" t="s">
        <v>41</v>
      </c>
      <c r="D152" s="17" t="s">
        <v>42</v>
      </c>
      <c r="E152" s="17" t="s">
        <v>36</v>
      </c>
      <c r="F152" s="18">
        <v>45585</v>
      </c>
      <c r="G152" s="18">
        <v>46067</v>
      </c>
      <c r="H152" s="19">
        <v>22650000</v>
      </c>
      <c r="I152" s="19">
        <v>150000</v>
      </c>
      <c r="J152" s="19">
        <v>24600000</v>
      </c>
      <c r="K152" s="19">
        <v>24168635.618891802</v>
      </c>
      <c r="L152" s="19">
        <v>22763628.072005</v>
      </c>
      <c r="M152" s="19">
        <v>3584025.5507435398</v>
      </c>
      <c r="N152" s="19">
        <v>4097957.6190443598</v>
      </c>
      <c r="O152" s="17" t="s">
        <v>44</v>
      </c>
      <c r="P152" s="17" t="s">
        <v>24</v>
      </c>
    </row>
    <row r="153" spans="1:16" ht="15" customHeight="1" x14ac:dyDescent="0.25">
      <c r="A153" s="17" t="s">
        <v>233</v>
      </c>
      <c r="B153" s="17" t="s">
        <v>102</v>
      </c>
      <c r="C153" s="17" t="s">
        <v>47</v>
      </c>
      <c r="D153" s="17" t="s">
        <v>48</v>
      </c>
      <c r="E153" s="17" t="s">
        <v>43</v>
      </c>
      <c r="F153" s="18">
        <v>46037</v>
      </c>
      <c r="G153" s="18">
        <v>46820</v>
      </c>
      <c r="H153" s="19">
        <v>33670000</v>
      </c>
      <c r="I153" s="19">
        <v>3020000</v>
      </c>
      <c r="J153" s="19">
        <v>39880000</v>
      </c>
      <c r="K153" s="19">
        <v>35483489.362579301</v>
      </c>
      <c r="L153" s="19">
        <v>38152523.217435002</v>
      </c>
      <c r="M153" s="19">
        <v>5255388.0597444996</v>
      </c>
      <c r="N153" s="19">
        <v>4238232.2298324304</v>
      </c>
      <c r="O153" s="17" t="s">
        <v>23</v>
      </c>
      <c r="P153" s="17" t="s">
        <v>31</v>
      </c>
    </row>
    <row r="154" spans="1:16" ht="15" customHeight="1" x14ac:dyDescent="0.25">
      <c r="A154" s="17" t="s">
        <v>234</v>
      </c>
      <c r="B154" s="17" t="s">
        <v>104</v>
      </c>
      <c r="C154" s="17" t="s">
        <v>52</v>
      </c>
      <c r="D154" s="17" t="s">
        <v>53</v>
      </c>
      <c r="E154" s="17" t="s">
        <v>49</v>
      </c>
      <c r="F154" s="18">
        <v>45607</v>
      </c>
      <c r="G154" s="18">
        <v>46285</v>
      </c>
      <c r="H154" s="19">
        <v>15750000</v>
      </c>
      <c r="I154" s="19">
        <v>2010000</v>
      </c>
      <c r="J154" s="19">
        <v>16410000</v>
      </c>
      <c r="K154" s="19">
        <v>19201242.618349601</v>
      </c>
      <c r="L154" s="19">
        <v>17381460.340144601</v>
      </c>
      <c r="M154" s="19">
        <v>3532063.1489628898</v>
      </c>
      <c r="N154" s="19">
        <v>3771824.5747931702</v>
      </c>
      <c r="O154" s="17" t="s">
        <v>30</v>
      </c>
      <c r="P154" s="17" t="s">
        <v>38</v>
      </c>
    </row>
  </sheetData>
  <mergeCells count="2">
    <mergeCell ref="A1:H1"/>
    <mergeCell ref="A2:H2"/>
  </mergeCells>
  <dataValidations count="4">
    <dataValidation type="list" sqref="C5:C154">
      <formula1>"Technology,Marketing,Product Development,Expansion,Equipment,Automation,Training,Infrastructure"</formula1>
      <formula2>0</formula2>
    </dataValidation>
    <dataValidation type="list" sqref="D5:D154">
      <formula1>"Sales,Marketing,Operations,IT,HR,Finance,Product,Supply Chain"</formula1>
      <formula2>0</formula2>
    </dataValidation>
    <dataValidation type="list" sqref="P5:P154">
      <formula1>"Low,Medium,High"</formula1>
      <formula2>0</formula2>
    </dataValidation>
    <dataValidation type="list" sqref="O5:O154">
      <formula1>"Completed,Active,On Hold,Cancelled"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54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customHeight="1" x14ac:dyDescent="0.25"/>
  <cols>
    <col min="1" max="1" width="14" style="15" customWidth="1"/>
    <col min="2" max="2" width="34" style="15" customWidth="1"/>
    <col min="3" max="3" width="22" style="15" customWidth="1"/>
    <col min="4" max="4" width="16" style="15" customWidth="1"/>
    <col min="5" max="5" width="12" style="15" customWidth="1"/>
    <col min="6" max="7" width="13" style="15" customWidth="1"/>
    <col min="8" max="13" width="18" style="15" customWidth="1"/>
    <col min="14" max="15" width="20" style="15" customWidth="1"/>
    <col min="16" max="18" width="18" style="15" customWidth="1"/>
    <col min="19" max="21" width="12" style="15" customWidth="1"/>
    <col min="22" max="22" width="14" style="15" customWidth="1"/>
    <col min="23" max="23" width="18" style="15" customWidth="1"/>
    <col min="24" max="24" width="12" style="15" customWidth="1"/>
    <col min="25" max="25" width="13" style="15" customWidth="1"/>
    <col min="26" max="26" width="18" style="15" customWidth="1"/>
    <col min="27" max="27" width="12" style="15" customWidth="1"/>
    <col min="28" max="28" width="18" style="15" customWidth="1"/>
    <col min="29" max="29" width="22" style="15" customWidth="1"/>
    <col min="30" max="30" width="18" style="15" customWidth="1"/>
    <col min="31" max="31" width="22" style="15" customWidth="1"/>
    <col min="32" max="32" width="18" style="15" customWidth="1"/>
    <col min="33" max="33" width="15" style="15" customWidth="1"/>
    <col min="34" max="34" width="26" style="15" customWidth="1"/>
  </cols>
  <sheetData>
    <row r="1" spans="1:34" ht="30" customHeight="1" x14ac:dyDescent="0.25">
      <c r="A1" s="14" t="s">
        <v>235</v>
      </c>
      <c r="B1" s="14"/>
      <c r="C1" s="14"/>
      <c r="D1" s="14"/>
      <c r="E1" s="14"/>
      <c r="F1" s="14"/>
      <c r="G1" s="14"/>
      <c r="H1" s="14"/>
    </row>
    <row r="2" spans="1:34" ht="19.5" customHeight="1" x14ac:dyDescent="0.25">
      <c r="A2" s="13" t="s">
        <v>236</v>
      </c>
      <c r="B2" s="13"/>
      <c r="C2" s="13"/>
      <c r="D2" s="13"/>
      <c r="E2" s="13"/>
      <c r="F2" s="13"/>
      <c r="G2" s="13"/>
      <c r="H2" s="13"/>
    </row>
    <row r="4" spans="1:34" ht="27.75" customHeight="1" x14ac:dyDescent="0.25">
      <c r="A4" s="16" t="s">
        <v>2</v>
      </c>
      <c r="B4" s="16" t="s">
        <v>3</v>
      </c>
      <c r="C4" s="16" t="s">
        <v>4</v>
      </c>
      <c r="D4" s="16" t="s">
        <v>5</v>
      </c>
      <c r="E4" s="16" t="s">
        <v>6</v>
      </c>
      <c r="F4" s="16" t="s">
        <v>7</v>
      </c>
      <c r="G4" s="16" t="s">
        <v>8</v>
      </c>
      <c r="H4" s="16" t="s">
        <v>9</v>
      </c>
      <c r="I4" s="16" t="s">
        <v>10</v>
      </c>
      <c r="J4" s="16" t="s">
        <v>237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238</v>
      </c>
      <c r="Q4" s="16" t="s">
        <v>239</v>
      </c>
      <c r="R4" s="16" t="s">
        <v>240</v>
      </c>
      <c r="S4" s="16" t="s">
        <v>241</v>
      </c>
      <c r="T4" s="16" t="s">
        <v>242</v>
      </c>
      <c r="U4" s="16" t="s">
        <v>243</v>
      </c>
      <c r="V4" s="16" t="s">
        <v>244</v>
      </c>
      <c r="W4" s="16" t="s">
        <v>245</v>
      </c>
      <c r="X4" s="16" t="s">
        <v>246</v>
      </c>
      <c r="Y4" s="16" t="s">
        <v>247</v>
      </c>
      <c r="Z4" s="16" t="s">
        <v>16</v>
      </c>
      <c r="AA4" s="16" t="s">
        <v>17</v>
      </c>
      <c r="AB4" s="16" t="s">
        <v>248</v>
      </c>
      <c r="AC4" s="16" t="s">
        <v>249</v>
      </c>
      <c r="AD4" s="16" t="s">
        <v>250</v>
      </c>
      <c r="AE4" s="16" t="s">
        <v>251</v>
      </c>
      <c r="AF4" s="16" t="s">
        <v>252</v>
      </c>
      <c r="AG4" s="16" t="s">
        <v>253</v>
      </c>
      <c r="AH4" s="16" t="s">
        <v>254</v>
      </c>
    </row>
    <row r="5" spans="1:34" ht="15" customHeight="1" x14ac:dyDescent="0.25">
      <c r="A5" s="17" t="str">
        <f>Raw_Data!A5</f>
        <v>INV-001</v>
      </c>
      <c r="B5" s="17" t="str">
        <f>Raw_Data!B5</f>
        <v>ERP Cloud Migration – Central</v>
      </c>
      <c r="C5" s="17" t="str">
        <f>Raw_Data!C5</f>
        <v>Technology</v>
      </c>
      <c r="D5" s="17" t="str">
        <f>Raw_Data!D5</f>
        <v>HR</v>
      </c>
      <c r="E5" s="17" t="str">
        <f>Raw_Data!E5</f>
        <v>Central</v>
      </c>
      <c r="F5" s="18">
        <f>Raw_Data!F5</f>
        <v>45925</v>
      </c>
      <c r="G5" s="18">
        <f>Raw_Data!G5</f>
        <v>46643</v>
      </c>
      <c r="H5" s="19">
        <f>Raw_Data!H5</f>
        <v>33630000</v>
      </c>
      <c r="I5" s="19">
        <f>Raw_Data!I5</f>
        <v>2620000</v>
      </c>
      <c r="J5" s="19">
        <f t="shared" ref="J5:J36" si="0">H5+I5</f>
        <v>36250000</v>
      </c>
      <c r="K5" s="19">
        <f>Raw_Data!J5</f>
        <v>36270000</v>
      </c>
      <c r="L5" s="19">
        <f>Raw_Data!K5</f>
        <v>44295443.250237301</v>
      </c>
      <c r="M5" s="19">
        <f>Raw_Data!L5</f>
        <v>44650965.644007199</v>
      </c>
      <c r="N5" s="19">
        <f>Raw_Data!M5</f>
        <v>1555987.8529939</v>
      </c>
      <c r="O5" s="19">
        <f>Raw_Data!N5</f>
        <v>1252518.6305691299</v>
      </c>
      <c r="P5" s="19">
        <f t="shared" ref="P5:P36" si="1">L5+N5</f>
        <v>45851431.103231199</v>
      </c>
      <c r="Q5" s="19">
        <f t="shared" ref="Q5:Q36" si="2">M5+O5</f>
        <v>45903484.274576329</v>
      </c>
      <c r="R5" s="19">
        <f t="shared" ref="R5:R36" si="3">Q5-J5</f>
        <v>9653484.2745763287</v>
      </c>
      <c r="S5" s="20">
        <f t="shared" ref="S5:S36" si="4">IFERROR(R5/J5,0)</f>
        <v>0.26630301447107113</v>
      </c>
      <c r="T5" s="20">
        <f t="shared" ref="T5:T36" si="5">IF(C5="Technology",0.2,IF(C5="Marketing",0.22,IF(C5="Product Development",0.24,IF(C5="Expansion",0.18,IF(C5="Equipment",0.17,IF(C5="Automation",0.25,IF(C5="Training",0.15,0.13)))))))</f>
        <v>0.2</v>
      </c>
      <c r="U5" s="20">
        <f t="shared" ref="U5:U36" si="6">S5-T5</f>
        <v>6.630301447107112E-2</v>
      </c>
      <c r="V5" s="21">
        <f t="shared" ref="V5:V36" si="7">IFERROR(J5/(Q5/5),0)</f>
        <v>3.9485020116519878</v>
      </c>
      <c r="W5" s="19">
        <f t="shared" ref="W5:W36" si="8">NPV(Y5,Q5/5,Q5/5,Q5/5,Q5/5,Q5/5)-J5</f>
        <v>-2319089.8739748523</v>
      </c>
      <c r="X5" s="20">
        <f>IFERROR(NPV_IRR!L5,0)</f>
        <v>8.4238476632569448E-2</v>
      </c>
      <c r="Y5" s="20">
        <f t="shared" ref="Y5:Y36" si="9">IF(D5="Finance",0.09,IF(G5-F5&gt;600,0.11,IF(AA5="High",0.12,0.1)))</f>
        <v>0.11</v>
      </c>
      <c r="Z5" s="17" t="str">
        <f>Raw_Data!O5</f>
        <v>Active</v>
      </c>
      <c r="AA5" s="17" t="str">
        <f>Raw_Data!P5</f>
        <v>Low</v>
      </c>
      <c r="AB5" s="17" t="str">
        <f t="shared" ref="AB5:AB36" si="10">IF(AG5&gt;=82,"Excellent",IF(AG5&gt;=68,"Good",IF(AG5&gt;=52,"Watch",IF(AG5&gt;=35,"Underperforming","Critical"))))</f>
        <v>Watch</v>
      </c>
      <c r="AC5" s="17" t="str">
        <f t="shared" ref="AC5:AC36" si="11">IF(AND(AG5&gt;=68,W5&gt;0,AA5&lt;&gt;"High"),"Increase / Scale",IF(OR(AG5&lt;35,W5&lt;0),"Review / Restructure",IF(AND(AA5="High",U5&gt;0),"Monitor Closely","Continue")))</f>
        <v>Review / Restructure</v>
      </c>
      <c r="AD5" s="20">
        <f t="shared" ref="AD5:AD36" si="12">IFERROR(M5/L5,0)</f>
        <v>1.0080261617828601</v>
      </c>
      <c r="AE5" s="20">
        <f t="shared" ref="AE5:AE36" si="13">IFERROR(O5/N5,0)</f>
        <v>0.80496684351303882</v>
      </c>
      <c r="AF5" s="19">
        <f t="shared" ref="AF5:AF36" si="14">J5-K5</f>
        <v>-20000</v>
      </c>
      <c r="AG5" s="22">
        <f t="shared" ref="AG5:AG36" si="15">MAX(0,MIN(100,(MIN(100,MAX(0,50+U5*250))*22%)+(MIN(100,MAX(0,50+(W5/J5)*100))*18%)+(MIN(100,MAX(0,50+(X5-T5)*180))*15%)+(MIN(100,MAX(0,100-V5*12))*10%)+(MIN(100,MAX(0,100-MAX(0,AF5/K5)*250))*12%)+(MIN(100,MAX(0,AD5*100))*12%)+(MIN(100,MAX(0,AE5*100))*6%)+(IF(AA5="Low",100,IF(AA5="Medium",90,78))*5%)))</f>
        <v>65.961155236731116</v>
      </c>
      <c r="AH5" s="17" t="str">
        <f t="shared" ref="AH5:AH36" si="16">IF(U5&gt;=5%,"Significantly Above Target",IF(U5&gt;=1.5%,"Above Target",IF(U5&gt;=-1.5%,"On Target",IF(U5&gt;=-5%,"Below Target","Significantly Below Target"))))</f>
        <v>Significantly Above Target</v>
      </c>
    </row>
    <row r="6" spans="1:34" ht="15" customHeight="1" x14ac:dyDescent="0.25">
      <c r="A6" s="17" t="str">
        <f>Raw_Data!A6</f>
        <v>INV-002</v>
      </c>
      <c r="B6" s="17" t="str">
        <f>Raw_Data!B6</f>
        <v>Brand Repositioning – South</v>
      </c>
      <c r="C6" s="17" t="str">
        <f>Raw_Data!C6</f>
        <v>Marketing</v>
      </c>
      <c r="D6" s="17" t="str">
        <f>Raw_Data!D6</f>
        <v>Supply Chain</v>
      </c>
      <c r="E6" s="17" t="str">
        <f>Raw_Data!E6</f>
        <v>South</v>
      </c>
      <c r="F6" s="18">
        <f>Raw_Data!F6</f>
        <v>46045</v>
      </c>
      <c r="G6" s="18">
        <f>Raw_Data!G6</f>
        <v>46699</v>
      </c>
      <c r="H6" s="19">
        <f>Raw_Data!H6</f>
        <v>7490000</v>
      </c>
      <c r="I6" s="19">
        <f>Raw_Data!I6</f>
        <v>530000</v>
      </c>
      <c r="J6" s="19">
        <f t="shared" si="0"/>
        <v>8020000</v>
      </c>
      <c r="K6" s="19">
        <f>Raw_Data!J6</f>
        <v>8460000</v>
      </c>
      <c r="L6" s="19">
        <f>Raw_Data!K6</f>
        <v>9041768.0320487693</v>
      </c>
      <c r="M6" s="19">
        <f>Raw_Data!L6</f>
        <v>9120793.5188122801</v>
      </c>
      <c r="N6" s="19">
        <f>Raw_Data!M6</f>
        <v>356078.54636700603</v>
      </c>
      <c r="O6" s="19">
        <f>Raw_Data!N6</f>
        <v>321968.958151998</v>
      </c>
      <c r="P6" s="19">
        <f t="shared" si="1"/>
        <v>9397846.5784157757</v>
      </c>
      <c r="Q6" s="19">
        <f t="shared" si="2"/>
        <v>9442762.4769642781</v>
      </c>
      <c r="R6" s="19">
        <f t="shared" si="3"/>
        <v>1422762.4769642781</v>
      </c>
      <c r="S6" s="20">
        <f t="shared" si="4"/>
        <v>0.17740180510776535</v>
      </c>
      <c r="T6" s="20">
        <f t="shared" si="5"/>
        <v>0.22</v>
      </c>
      <c r="U6" s="20">
        <f t="shared" si="6"/>
        <v>-4.2598194892234653E-2</v>
      </c>
      <c r="V6" s="21">
        <f t="shared" si="7"/>
        <v>4.2466386396803246</v>
      </c>
      <c r="W6" s="19">
        <f t="shared" si="8"/>
        <v>-1040104.4646030907</v>
      </c>
      <c r="X6" s="20">
        <f>IFERROR(NPV_IRR!L6,0)</f>
        <v>5.7028167481365077E-2</v>
      </c>
      <c r="Y6" s="20">
        <f t="shared" si="9"/>
        <v>0.11</v>
      </c>
      <c r="Z6" s="17" t="str">
        <f>Raw_Data!O6</f>
        <v>Completed</v>
      </c>
      <c r="AA6" s="17" t="str">
        <f>Raw_Data!P6</f>
        <v>High</v>
      </c>
      <c r="AB6" s="17" t="str">
        <f t="shared" si="10"/>
        <v>Watch</v>
      </c>
      <c r="AC6" s="17" t="str">
        <f t="shared" si="11"/>
        <v>Review / Restructure</v>
      </c>
      <c r="AD6" s="20">
        <f t="shared" si="12"/>
        <v>1.0087400480175341</v>
      </c>
      <c r="AE6" s="20">
        <f t="shared" si="13"/>
        <v>0.90420768517783245</v>
      </c>
      <c r="AF6" s="19">
        <f t="shared" si="14"/>
        <v>-440000</v>
      </c>
      <c r="AG6" s="22">
        <f t="shared" si="15"/>
        <v>56.651740498636947</v>
      </c>
      <c r="AH6" s="17" t="str">
        <f t="shared" si="16"/>
        <v>Below Target</v>
      </c>
    </row>
    <row r="7" spans="1:34" ht="15" customHeight="1" x14ac:dyDescent="0.25">
      <c r="A7" s="17" t="str">
        <f>Raw_Data!A7</f>
        <v>INV-003</v>
      </c>
      <c r="B7" s="17" t="str">
        <f>Raw_Data!B7</f>
        <v>Premium Product Line – West</v>
      </c>
      <c r="C7" s="17" t="str">
        <f>Raw_Data!C7</f>
        <v>Product Development</v>
      </c>
      <c r="D7" s="17" t="str">
        <f>Raw_Data!D7</f>
        <v>Operations</v>
      </c>
      <c r="E7" s="17" t="str">
        <f>Raw_Data!E7</f>
        <v>West</v>
      </c>
      <c r="F7" s="18">
        <f>Raw_Data!F7</f>
        <v>45874</v>
      </c>
      <c r="G7" s="18">
        <f>Raw_Data!G7</f>
        <v>46411</v>
      </c>
      <c r="H7" s="19">
        <f>Raw_Data!H7</f>
        <v>34110000</v>
      </c>
      <c r="I7" s="19">
        <f>Raw_Data!I7</f>
        <v>1430000</v>
      </c>
      <c r="J7" s="19">
        <f t="shared" si="0"/>
        <v>35540000</v>
      </c>
      <c r="K7" s="19">
        <f>Raw_Data!J7</f>
        <v>36480000</v>
      </c>
      <c r="L7" s="19">
        <f>Raw_Data!K7</f>
        <v>40821273.188142098</v>
      </c>
      <c r="M7" s="19">
        <f>Raw_Data!L7</f>
        <v>38626368.637802102</v>
      </c>
      <c r="N7" s="19">
        <f>Raw_Data!M7</f>
        <v>3556096.5959484898</v>
      </c>
      <c r="O7" s="19">
        <f>Raw_Data!N7</f>
        <v>3953686.4983377801</v>
      </c>
      <c r="P7" s="19">
        <f t="shared" si="1"/>
        <v>44377369.784090586</v>
      </c>
      <c r="Q7" s="19">
        <f t="shared" si="2"/>
        <v>42580055.136139885</v>
      </c>
      <c r="R7" s="19">
        <f t="shared" si="3"/>
        <v>7040055.1361398846</v>
      </c>
      <c r="S7" s="20">
        <f t="shared" si="4"/>
        <v>0.1980882142976895</v>
      </c>
      <c r="T7" s="20">
        <f t="shared" si="5"/>
        <v>0.24</v>
      </c>
      <c r="U7" s="20">
        <f t="shared" si="6"/>
        <v>-4.1911785702310494E-2</v>
      </c>
      <c r="V7" s="21">
        <f t="shared" si="7"/>
        <v>4.173315403933727</v>
      </c>
      <c r="W7" s="19">
        <f t="shared" si="8"/>
        <v>-3257618.069847744</v>
      </c>
      <c r="X7" s="20">
        <f>IFERROR(NPV_IRR!L7,0)</f>
        <v>6.343282015879681E-2</v>
      </c>
      <c r="Y7" s="20">
        <f t="shared" si="9"/>
        <v>0.1</v>
      </c>
      <c r="Z7" s="17" t="str">
        <f>Raw_Data!O7</f>
        <v>Cancelled</v>
      </c>
      <c r="AA7" s="17" t="str">
        <f>Raw_Data!P7</f>
        <v>Medium</v>
      </c>
      <c r="AB7" s="17" t="str">
        <f t="shared" si="10"/>
        <v>Watch</v>
      </c>
      <c r="AC7" s="17" t="str">
        <f t="shared" si="11"/>
        <v>Review / Restructure</v>
      </c>
      <c r="AD7" s="20">
        <f t="shared" si="12"/>
        <v>0.94623135490596166</v>
      </c>
      <c r="AE7" s="20">
        <f t="shared" si="13"/>
        <v>1.1118051469249373</v>
      </c>
      <c r="AF7" s="19">
        <f t="shared" si="14"/>
        <v>-940000</v>
      </c>
      <c r="AG7" s="22">
        <f t="shared" si="15"/>
        <v>57.624444729649454</v>
      </c>
      <c r="AH7" s="17" t="str">
        <f t="shared" si="16"/>
        <v>Below Target</v>
      </c>
    </row>
    <row r="8" spans="1:34" ht="15" customHeight="1" x14ac:dyDescent="0.25">
      <c r="A8" s="17" t="str">
        <f>Raw_Data!A8</f>
        <v>INV-004</v>
      </c>
      <c r="B8" s="17" t="str">
        <f>Raw_Data!B8</f>
        <v>Tier-2 City Expansion – North</v>
      </c>
      <c r="C8" s="17" t="str">
        <f>Raw_Data!C8</f>
        <v>Expansion</v>
      </c>
      <c r="D8" s="17" t="str">
        <f>Raw_Data!D8</f>
        <v>Finance</v>
      </c>
      <c r="E8" s="17" t="str">
        <f>Raw_Data!E8</f>
        <v>North</v>
      </c>
      <c r="F8" s="18">
        <f>Raw_Data!F8</f>
        <v>45405</v>
      </c>
      <c r="G8" s="18">
        <f>Raw_Data!G8</f>
        <v>45961</v>
      </c>
      <c r="H8" s="19">
        <f>Raw_Data!H8</f>
        <v>22460000</v>
      </c>
      <c r="I8" s="19">
        <f>Raw_Data!I8</f>
        <v>630000</v>
      </c>
      <c r="J8" s="19">
        <f t="shared" si="0"/>
        <v>23090000</v>
      </c>
      <c r="K8" s="19">
        <f>Raw_Data!J8</f>
        <v>24320000</v>
      </c>
      <c r="L8" s="19">
        <f>Raw_Data!K8</f>
        <v>26063425.295951601</v>
      </c>
      <c r="M8" s="19">
        <f>Raw_Data!L8</f>
        <v>25024555.056888402</v>
      </c>
      <c r="N8" s="19">
        <f>Raw_Data!M8</f>
        <v>2593160.15966783</v>
      </c>
      <c r="O8" s="19">
        <f>Raw_Data!N8</f>
        <v>2841181.7916077902</v>
      </c>
      <c r="P8" s="19">
        <f t="shared" si="1"/>
        <v>28656585.455619432</v>
      </c>
      <c r="Q8" s="19">
        <f t="shared" si="2"/>
        <v>27865736.848496191</v>
      </c>
      <c r="R8" s="19">
        <f t="shared" si="3"/>
        <v>4775736.8484961912</v>
      </c>
      <c r="S8" s="20">
        <f t="shared" si="4"/>
        <v>0.20683139231252451</v>
      </c>
      <c r="T8" s="20">
        <f t="shared" si="5"/>
        <v>0.18</v>
      </c>
      <c r="U8" s="20">
        <f t="shared" si="6"/>
        <v>2.6831392312524516E-2</v>
      </c>
      <c r="V8" s="21">
        <f t="shared" si="7"/>
        <v>4.1430808245872894</v>
      </c>
      <c r="W8" s="19">
        <f t="shared" si="8"/>
        <v>-1412400.2926040664</v>
      </c>
      <c r="X8" s="20">
        <f>IFERROR(NPV_IRR!L8,0)</f>
        <v>6.6126032243419619E-2</v>
      </c>
      <c r="Y8" s="20">
        <f t="shared" si="9"/>
        <v>0.09</v>
      </c>
      <c r="Z8" s="17" t="str">
        <f>Raw_Data!O8</f>
        <v>On Hold</v>
      </c>
      <c r="AA8" s="17" t="str">
        <f>Raw_Data!P8</f>
        <v>Low</v>
      </c>
      <c r="AB8" s="17" t="str">
        <f t="shared" si="10"/>
        <v>Watch</v>
      </c>
      <c r="AC8" s="17" t="str">
        <f t="shared" si="11"/>
        <v>Review / Restructure</v>
      </c>
      <c r="AD8" s="20">
        <f t="shared" si="12"/>
        <v>0.96014068652654927</v>
      </c>
      <c r="AE8" s="20">
        <f t="shared" si="13"/>
        <v>1.0956445482224786</v>
      </c>
      <c r="AF8" s="19">
        <f t="shared" si="14"/>
        <v>-1230000</v>
      </c>
      <c r="AG8" s="22">
        <f t="shared" si="15"/>
        <v>64.350072395714335</v>
      </c>
      <c r="AH8" s="17" t="str">
        <f t="shared" si="16"/>
        <v>Above Target</v>
      </c>
    </row>
    <row r="9" spans="1:34" ht="15" customHeight="1" x14ac:dyDescent="0.25">
      <c r="A9" s="17" t="str">
        <f>Raw_Data!A9</f>
        <v>INV-005</v>
      </c>
      <c r="B9" s="17" t="str">
        <f>Raw_Data!B9</f>
        <v>Automated Packaging Line – East</v>
      </c>
      <c r="C9" s="17" t="str">
        <f>Raw_Data!C9</f>
        <v>Equipment</v>
      </c>
      <c r="D9" s="17" t="str">
        <f>Raw_Data!D9</f>
        <v>Sales</v>
      </c>
      <c r="E9" s="17" t="str">
        <f>Raw_Data!E9</f>
        <v>East</v>
      </c>
      <c r="F9" s="18">
        <f>Raw_Data!F9</f>
        <v>45496</v>
      </c>
      <c r="G9" s="18">
        <f>Raw_Data!G9</f>
        <v>45852</v>
      </c>
      <c r="H9" s="19">
        <f>Raw_Data!H9</f>
        <v>27540000</v>
      </c>
      <c r="I9" s="19">
        <f>Raw_Data!I9</f>
        <v>3750000</v>
      </c>
      <c r="J9" s="19">
        <f t="shared" si="0"/>
        <v>31290000</v>
      </c>
      <c r="K9" s="19">
        <f>Raw_Data!J9</f>
        <v>30250000</v>
      </c>
      <c r="L9" s="19">
        <f>Raw_Data!K9</f>
        <v>33855626.479153</v>
      </c>
      <c r="M9" s="19">
        <f>Raw_Data!L9</f>
        <v>34288709.616503499</v>
      </c>
      <c r="N9" s="19">
        <f>Raw_Data!M9</f>
        <v>2466361.6725047599</v>
      </c>
      <c r="O9" s="19">
        <f>Raw_Data!N9</f>
        <v>2482722.07506123</v>
      </c>
      <c r="P9" s="19">
        <f t="shared" si="1"/>
        <v>36321988.15165776</v>
      </c>
      <c r="Q9" s="19">
        <f t="shared" si="2"/>
        <v>36771431.691564731</v>
      </c>
      <c r="R9" s="19">
        <f t="shared" si="3"/>
        <v>5481431.6915647313</v>
      </c>
      <c r="S9" s="20">
        <f t="shared" si="4"/>
        <v>0.17518158170548837</v>
      </c>
      <c r="T9" s="20">
        <f t="shared" si="5"/>
        <v>0.17</v>
      </c>
      <c r="U9" s="20">
        <f t="shared" si="6"/>
        <v>5.1815817054883528E-3</v>
      </c>
      <c r="V9" s="21">
        <f t="shared" si="7"/>
        <v>4.2546616436446563</v>
      </c>
      <c r="W9" s="19">
        <f t="shared" si="8"/>
        <v>-4779443.6224185079</v>
      </c>
      <c r="X9" s="20">
        <f>IFERROR(NPV_IRR!L9,0)</f>
        <v>5.6338011278983302E-2</v>
      </c>
      <c r="Y9" s="20">
        <f t="shared" si="9"/>
        <v>0.12</v>
      </c>
      <c r="Z9" s="17" t="str">
        <f>Raw_Data!O9</f>
        <v>Active</v>
      </c>
      <c r="AA9" s="17" t="str">
        <f>Raw_Data!P9</f>
        <v>High</v>
      </c>
      <c r="AB9" s="17" t="str">
        <f t="shared" si="10"/>
        <v>Watch</v>
      </c>
      <c r="AC9" s="17" t="str">
        <f t="shared" si="11"/>
        <v>Review / Restructure</v>
      </c>
      <c r="AD9" s="20">
        <f t="shared" si="12"/>
        <v>1.0127920579941765</v>
      </c>
      <c r="AE9" s="20">
        <f t="shared" si="13"/>
        <v>1.0066334158282046</v>
      </c>
      <c r="AF9" s="19">
        <f t="shared" si="14"/>
        <v>1040000</v>
      </c>
      <c r="AG9" s="22">
        <f t="shared" si="15"/>
        <v>59.729674124281111</v>
      </c>
      <c r="AH9" s="17" t="str">
        <f t="shared" si="16"/>
        <v>On Target</v>
      </c>
    </row>
    <row r="10" spans="1:34" ht="15" customHeight="1" x14ac:dyDescent="0.25">
      <c r="A10" s="17" t="str">
        <f>Raw_Data!A10</f>
        <v>INV-006</v>
      </c>
      <c r="B10" s="17" t="str">
        <f>Raw_Data!B10</f>
        <v>RPA Finance Rollout – Central</v>
      </c>
      <c r="C10" s="17" t="str">
        <f>Raw_Data!C10</f>
        <v>Automation</v>
      </c>
      <c r="D10" s="17" t="str">
        <f>Raw_Data!D10</f>
        <v>IT</v>
      </c>
      <c r="E10" s="17" t="str">
        <f>Raw_Data!E10</f>
        <v>Central</v>
      </c>
      <c r="F10" s="18">
        <f>Raw_Data!F10</f>
        <v>45945</v>
      </c>
      <c r="G10" s="18">
        <f>Raw_Data!G10</f>
        <v>46142</v>
      </c>
      <c r="H10" s="19">
        <f>Raw_Data!H10</f>
        <v>17840000</v>
      </c>
      <c r="I10" s="19">
        <f>Raw_Data!I10</f>
        <v>1060000</v>
      </c>
      <c r="J10" s="19">
        <f t="shared" si="0"/>
        <v>18900000</v>
      </c>
      <c r="K10" s="19">
        <f>Raw_Data!J10</f>
        <v>17490000</v>
      </c>
      <c r="L10" s="19">
        <f>Raw_Data!K10</f>
        <v>21918904.327021401</v>
      </c>
      <c r="M10" s="19">
        <f>Raw_Data!L10</f>
        <v>21989015.2543368</v>
      </c>
      <c r="N10" s="19">
        <f>Raw_Data!M10</f>
        <v>1956666.4538809699</v>
      </c>
      <c r="O10" s="19">
        <f>Raw_Data!N10</f>
        <v>1619526.76687068</v>
      </c>
      <c r="P10" s="19">
        <f t="shared" si="1"/>
        <v>23875570.780902371</v>
      </c>
      <c r="Q10" s="19">
        <f t="shared" si="2"/>
        <v>23608542.021207482</v>
      </c>
      <c r="R10" s="19">
        <f t="shared" si="3"/>
        <v>4708542.0212074816</v>
      </c>
      <c r="S10" s="20">
        <f t="shared" si="4"/>
        <v>0.24912920747129533</v>
      </c>
      <c r="T10" s="20">
        <f t="shared" si="5"/>
        <v>0.25</v>
      </c>
      <c r="U10" s="20">
        <f t="shared" si="6"/>
        <v>-8.707925287046725E-4</v>
      </c>
      <c r="V10" s="21">
        <f t="shared" si="7"/>
        <v>4.002788478640948</v>
      </c>
      <c r="W10" s="19">
        <f t="shared" si="8"/>
        <v>-1001010.2521966621</v>
      </c>
      <c r="X10" s="20">
        <f>IFERROR(NPV_IRR!L10,0)</f>
        <v>7.9044196370595454E-2</v>
      </c>
      <c r="Y10" s="20">
        <f t="shared" si="9"/>
        <v>0.1</v>
      </c>
      <c r="Z10" s="17" t="str">
        <f>Raw_Data!O10</f>
        <v>Completed</v>
      </c>
      <c r="AA10" s="17" t="str">
        <f>Raw_Data!P10</f>
        <v>Medium</v>
      </c>
      <c r="AB10" s="17" t="str">
        <f t="shared" si="10"/>
        <v>Watch</v>
      </c>
      <c r="AC10" s="17" t="str">
        <f t="shared" si="11"/>
        <v>Review / Restructure</v>
      </c>
      <c r="AD10" s="20">
        <f t="shared" si="12"/>
        <v>1.0031986510944786</v>
      </c>
      <c r="AE10" s="20">
        <f t="shared" si="13"/>
        <v>0.82769690442559241</v>
      </c>
      <c r="AF10" s="19">
        <f t="shared" si="14"/>
        <v>1410000</v>
      </c>
      <c r="AG10" s="22">
        <f t="shared" si="15"/>
        <v>58.127266996426521</v>
      </c>
      <c r="AH10" s="17" t="str">
        <f t="shared" si="16"/>
        <v>On Target</v>
      </c>
    </row>
    <row r="11" spans="1:34" ht="15" customHeight="1" x14ac:dyDescent="0.25">
      <c r="A11" s="17" t="str">
        <f>Raw_Data!A11</f>
        <v>INV-007</v>
      </c>
      <c r="B11" s="17" t="str">
        <f>Raw_Data!B11</f>
        <v>Leadership Development – South</v>
      </c>
      <c r="C11" s="17" t="str">
        <f>Raw_Data!C11</f>
        <v>Training</v>
      </c>
      <c r="D11" s="17" t="str">
        <f>Raw_Data!D11</f>
        <v>Product</v>
      </c>
      <c r="E11" s="17" t="str">
        <f>Raw_Data!E11</f>
        <v>South</v>
      </c>
      <c r="F11" s="18">
        <f>Raw_Data!F11</f>
        <v>46018</v>
      </c>
      <c r="G11" s="18">
        <f>Raw_Data!G11</f>
        <v>46874</v>
      </c>
      <c r="H11" s="19">
        <f>Raw_Data!H11</f>
        <v>11690000</v>
      </c>
      <c r="I11" s="19">
        <f>Raw_Data!I11</f>
        <v>1540000</v>
      </c>
      <c r="J11" s="19">
        <f t="shared" si="0"/>
        <v>13230000</v>
      </c>
      <c r="K11" s="19">
        <f>Raw_Data!J11</f>
        <v>12170000</v>
      </c>
      <c r="L11" s="19">
        <f>Raw_Data!K11</f>
        <v>13083911.868607501</v>
      </c>
      <c r="M11" s="19">
        <f>Raw_Data!L11</f>
        <v>11052860.773017099</v>
      </c>
      <c r="N11" s="19">
        <f>Raw_Data!M11</f>
        <v>2448715.9620836098</v>
      </c>
      <c r="O11" s="19">
        <f>Raw_Data!N11</f>
        <v>2215229.5542105902</v>
      </c>
      <c r="P11" s="19">
        <f t="shared" si="1"/>
        <v>15532627.83069111</v>
      </c>
      <c r="Q11" s="19">
        <f t="shared" si="2"/>
        <v>13268090.327227689</v>
      </c>
      <c r="R11" s="19">
        <f t="shared" si="3"/>
        <v>38090.327227689326</v>
      </c>
      <c r="S11" s="20">
        <f t="shared" si="4"/>
        <v>2.8790874699689589E-3</v>
      </c>
      <c r="T11" s="20">
        <f t="shared" si="5"/>
        <v>0.15</v>
      </c>
      <c r="U11" s="20">
        <f t="shared" si="6"/>
        <v>-0.14712091253003104</v>
      </c>
      <c r="V11" s="21">
        <f t="shared" si="7"/>
        <v>4.9856458893901552</v>
      </c>
      <c r="W11" s="19">
        <f t="shared" si="8"/>
        <v>-3422500.9059390966</v>
      </c>
      <c r="X11" s="20">
        <f>IFERROR(NPV_IRR!L11,0)</f>
        <v>9.59082890785945E-4</v>
      </c>
      <c r="Y11" s="20">
        <f t="shared" si="9"/>
        <v>0.11</v>
      </c>
      <c r="Z11" s="17" t="str">
        <f>Raw_Data!O11</f>
        <v>Cancelled</v>
      </c>
      <c r="AA11" s="17" t="str">
        <f>Raw_Data!P11</f>
        <v>Low</v>
      </c>
      <c r="AB11" s="17" t="str">
        <f t="shared" si="10"/>
        <v>Underperforming</v>
      </c>
      <c r="AC11" s="17" t="str">
        <f t="shared" si="11"/>
        <v>Review / Restructure</v>
      </c>
      <c r="AD11" s="20">
        <f t="shared" si="12"/>
        <v>0.84476729008978235</v>
      </c>
      <c r="AE11" s="20">
        <f t="shared" si="13"/>
        <v>0.90464945241164429</v>
      </c>
      <c r="AF11" s="19">
        <f t="shared" si="14"/>
        <v>1060000</v>
      </c>
      <c r="AG11" s="22">
        <f t="shared" si="15"/>
        <v>44.697127615120799</v>
      </c>
      <c r="AH11" s="17" t="str">
        <f t="shared" si="16"/>
        <v>Significantly Below Target</v>
      </c>
    </row>
    <row r="12" spans="1:34" ht="15" customHeight="1" x14ac:dyDescent="0.25">
      <c r="A12" s="17" t="str">
        <f>Raw_Data!A12</f>
        <v>INV-008</v>
      </c>
      <c r="B12" s="17" t="str">
        <f>Raw_Data!B12</f>
        <v>Plant Utility Upgrade – West</v>
      </c>
      <c r="C12" s="17" t="str">
        <f>Raw_Data!C12</f>
        <v>Infrastructure</v>
      </c>
      <c r="D12" s="17" t="str">
        <f>Raw_Data!D12</f>
        <v>Marketing</v>
      </c>
      <c r="E12" s="17" t="str">
        <f>Raw_Data!E12</f>
        <v>West</v>
      </c>
      <c r="F12" s="18">
        <f>Raw_Data!F12</f>
        <v>46029</v>
      </c>
      <c r="G12" s="18">
        <f>Raw_Data!G12</f>
        <v>46456</v>
      </c>
      <c r="H12" s="19">
        <f>Raw_Data!H12</f>
        <v>16360000</v>
      </c>
      <c r="I12" s="19">
        <f>Raw_Data!I12</f>
        <v>1260000</v>
      </c>
      <c r="J12" s="19">
        <f t="shared" si="0"/>
        <v>17620000</v>
      </c>
      <c r="K12" s="19">
        <f>Raw_Data!J12</f>
        <v>16370000</v>
      </c>
      <c r="L12" s="19">
        <f>Raw_Data!K12</f>
        <v>18270391.768959999</v>
      </c>
      <c r="M12" s="19">
        <f>Raw_Data!L12</f>
        <v>18724577.3833392</v>
      </c>
      <c r="N12" s="19">
        <f>Raw_Data!M12</f>
        <v>976615.74502969801</v>
      </c>
      <c r="O12" s="19">
        <f>Raw_Data!N12</f>
        <v>913794.82737355703</v>
      </c>
      <c r="P12" s="19">
        <f t="shared" si="1"/>
        <v>19247007.513989698</v>
      </c>
      <c r="Q12" s="19">
        <f t="shared" si="2"/>
        <v>19638372.210712757</v>
      </c>
      <c r="R12" s="19">
        <f t="shared" si="3"/>
        <v>2018372.210712757</v>
      </c>
      <c r="S12" s="20">
        <f t="shared" si="4"/>
        <v>0.11455006871241527</v>
      </c>
      <c r="T12" s="20">
        <f t="shared" si="5"/>
        <v>0.13</v>
      </c>
      <c r="U12" s="20">
        <f t="shared" si="6"/>
        <v>-1.5449931287584734E-2</v>
      </c>
      <c r="V12" s="21">
        <f t="shared" si="7"/>
        <v>4.4861151960416219</v>
      </c>
      <c r="W12" s="19">
        <f t="shared" si="8"/>
        <v>-3461612.6404058412</v>
      </c>
      <c r="X12" s="20">
        <f>IFERROR(NPV_IRR!L12,0)</f>
        <v>3.7274471665797337E-2</v>
      </c>
      <c r="Y12" s="20">
        <f t="shared" si="9"/>
        <v>0.12</v>
      </c>
      <c r="Z12" s="17" t="str">
        <f>Raw_Data!O12</f>
        <v>On Hold</v>
      </c>
      <c r="AA12" s="17" t="str">
        <f>Raw_Data!P12</f>
        <v>High</v>
      </c>
      <c r="AB12" s="17" t="str">
        <f t="shared" si="10"/>
        <v>Watch</v>
      </c>
      <c r="AC12" s="17" t="str">
        <f t="shared" si="11"/>
        <v>Review / Restructure</v>
      </c>
      <c r="AD12" s="20">
        <f t="shared" si="12"/>
        <v>1.0248591064779917</v>
      </c>
      <c r="AE12" s="20">
        <f t="shared" si="13"/>
        <v>0.93567488751245698</v>
      </c>
      <c r="AF12" s="19">
        <f t="shared" si="14"/>
        <v>1250000</v>
      </c>
      <c r="AG12" s="22">
        <f t="shared" si="15"/>
        <v>56.450332625036118</v>
      </c>
      <c r="AH12" s="17" t="str">
        <f t="shared" si="16"/>
        <v>Below Target</v>
      </c>
    </row>
    <row r="13" spans="1:34" ht="15" customHeight="1" x14ac:dyDescent="0.25">
      <c r="A13" s="17" t="str">
        <f>Raw_Data!A13</f>
        <v>INV-009</v>
      </c>
      <c r="B13" s="17" t="str">
        <f>Raw_Data!B13</f>
        <v>ERP Cloud Migration – North</v>
      </c>
      <c r="C13" s="17" t="str">
        <f>Raw_Data!C13</f>
        <v>Technology</v>
      </c>
      <c r="D13" s="17" t="str">
        <f>Raw_Data!D13</f>
        <v>HR</v>
      </c>
      <c r="E13" s="17" t="str">
        <f>Raw_Data!E13</f>
        <v>North</v>
      </c>
      <c r="F13" s="18">
        <f>Raw_Data!F13</f>
        <v>46028</v>
      </c>
      <c r="G13" s="18">
        <f>Raw_Data!G13</f>
        <v>46394</v>
      </c>
      <c r="H13" s="19">
        <f>Raw_Data!H13</f>
        <v>19340000</v>
      </c>
      <c r="I13" s="19">
        <f>Raw_Data!I13</f>
        <v>1500000</v>
      </c>
      <c r="J13" s="19">
        <f t="shared" si="0"/>
        <v>20840000</v>
      </c>
      <c r="K13" s="19">
        <f>Raw_Data!J13</f>
        <v>21430000</v>
      </c>
      <c r="L13" s="19">
        <f>Raw_Data!K13</f>
        <v>22689717.212528698</v>
      </c>
      <c r="M13" s="19">
        <f>Raw_Data!L13</f>
        <v>25582766.2299596</v>
      </c>
      <c r="N13" s="19">
        <f>Raw_Data!M13</f>
        <v>1907747.35849239</v>
      </c>
      <c r="O13" s="19">
        <f>Raw_Data!N13</f>
        <v>1520321.6150951399</v>
      </c>
      <c r="P13" s="19">
        <f t="shared" si="1"/>
        <v>24597464.571021087</v>
      </c>
      <c r="Q13" s="19">
        <f t="shared" si="2"/>
        <v>27103087.845054738</v>
      </c>
      <c r="R13" s="19">
        <f t="shared" si="3"/>
        <v>6263087.8450547382</v>
      </c>
      <c r="S13" s="20">
        <f t="shared" si="4"/>
        <v>0.30053204630780894</v>
      </c>
      <c r="T13" s="20">
        <f t="shared" si="5"/>
        <v>0.2</v>
      </c>
      <c r="U13" s="20">
        <f t="shared" si="6"/>
        <v>0.10053204630780893</v>
      </c>
      <c r="V13" s="21">
        <f t="shared" si="7"/>
        <v>3.8445803886147405</v>
      </c>
      <c r="W13" s="19">
        <f t="shared" si="8"/>
        <v>-291594.63737031817</v>
      </c>
      <c r="X13" s="20">
        <f>IFERROR(NPV_IRR!L13,0)</f>
        <v>9.4507699718861193E-2</v>
      </c>
      <c r="Y13" s="20">
        <f t="shared" si="9"/>
        <v>0.1</v>
      </c>
      <c r="Z13" s="17" t="str">
        <f>Raw_Data!O13</f>
        <v>Active</v>
      </c>
      <c r="AA13" s="17" t="str">
        <f>Raw_Data!P13</f>
        <v>Medium</v>
      </c>
      <c r="AB13" s="17" t="str">
        <f t="shared" si="10"/>
        <v>Good</v>
      </c>
      <c r="AC13" s="17" t="str">
        <f t="shared" si="11"/>
        <v>Review / Restructure</v>
      </c>
      <c r="AD13" s="20">
        <f t="shared" si="12"/>
        <v>1.1275048512210382</v>
      </c>
      <c r="AE13" s="20">
        <f t="shared" si="13"/>
        <v>0.7969197851735379</v>
      </c>
      <c r="AF13" s="19">
        <f t="shared" si="14"/>
        <v>-590000</v>
      </c>
      <c r="AG13" s="22">
        <f t="shared" si="15"/>
        <v>68.597135511649498</v>
      </c>
      <c r="AH13" s="17" t="str">
        <f t="shared" si="16"/>
        <v>Significantly Above Target</v>
      </c>
    </row>
    <row r="14" spans="1:34" ht="15" customHeight="1" x14ac:dyDescent="0.25">
      <c r="A14" s="17" t="str">
        <f>Raw_Data!A14</f>
        <v>INV-010</v>
      </c>
      <c r="B14" s="17" t="str">
        <f>Raw_Data!B14</f>
        <v>Brand Repositioning – East</v>
      </c>
      <c r="C14" s="17" t="str">
        <f>Raw_Data!C14</f>
        <v>Marketing</v>
      </c>
      <c r="D14" s="17" t="str">
        <f>Raw_Data!D14</f>
        <v>Supply Chain</v>
      </c>
      <c r="E14" s="17" t="str">
        <f>Raw_Data!E14</f>
        <v>East</v>
      </c>
      <c r="F14" s="18">
        <f>Raw_Data!F14</f>
        <v>45619</v>
      </c>
      <c r="G14" s="18">
        <f>Raw_Data!G14</f>
        <v>45899</v>
      </c>
      <c r="H14" s="19">
        <f>Raw_Data!H14</f>
        <v>9210000</v>
      </c>
      <c r="I14" s="19">
        <f>Raw_Data!I14</f>
        <v>300000</v>
      </c>
      <c r="J14" s="19">
        <f t="shared" si="0"/>
        <v>9510000</v>
      </c>
      <c r="K14" s="19">
        <f>Raw_Data!J14</f>
        <v>9850000</v>
      </c>
      <c r="L14" s="19">
        <f>Raw_Data!K14</f>
        <v>10046184.226598701</v>
      </c>
      <c r="M14" s="19">
        <f>Raw_Data!L14</f>
        <v>10085255.246293001</v>
      </c>
      <c r="N14" s="19">
        <f>Raw_Data!M14</f>
        <v>1515144.49626583</v>
      </c>
      <c r="O14" s="19">
        <f>Raw_Data!N14</f>
        <v>1663386.1240063</v>
      </c>
      <c r="P14" s="19">
        <f t="shared" si="1"/>
        <v>11561328.722864531</v>
      </c>
      <c r="Q14" s="19">
        <f t="shared" si="2"/>
        <v>11748641.3702993</v>
      </c>
      <c r="R14" s="19">
        <f t="shared" si="3"/>
        <v>2238641.3702993002</v>
      </c>
      <c r="S14" s="20">
        <f t="shared" si="4"/>
        <v>0.23539867195576236</v>
      </c>
      <c r="T14" s="20">
        <f t="shared" si="5"/>
        <v>0.22</v>
      </c>
      <c r="U14" s="20">
        <f t="shared" si="6"/>
        <v>1.5398671955762361E-2</v>
      </c>
      <c r="V14" s="21">
        <f t="shared" si="7"/>
        <v>4.0472764893655659</v>
      </c>
      <c r="W14" s="19">
        <f t="shared" si="8"/>
        <v>-602681.14698893763</v>
      </c>
      <c r="X14" s="20">
        <f>IFERROR(NPV_IRR!L14,0)</f>
        <v>7.4870557757053424E-2</v>
      </c>
      <c r="Y14" s="20">
        <f t="shared" si="9"/>
        <v>0.1</v>
      </c>
      <c r="Z14" s="17" t="str">
        <f>Raw_Data!O14</f>
        <v>Completed</v>
      </c>
      <c r="AA14" s="17" t="str">
        <f>Raw_Data!P14</f>
        <v>Low</v>
      </c>
      <c r="AB14" s="17" t="str">
        <f t="shared" si="10"/>
        <v>Watch</v>
      </c>
      <c r="AC14" s="17" t="str">
        <f t="shared" si="11"/>
        <v>Review / Restructure</v>
      </c>
      <c r="AD14" s="20">
        <f t="shared" si="12"/>
        <v>1.0038891402758525</v>
      </c>
      <c r="AE14" s="20">
        <f t="shared" si="13"/>
        <v>1.0978399275487063</v>
      </c>
      <c r="AF14" s="19">
        <f t="shared" si="14"/>
        <v>-340000</v>
      </c>
      <c r="AG14" s="22">
        <f t="shared" si="15"/>
        <v>63.430978815909498</v>
      </c>
      <c r="AH14" s="17" t="str">
        <f t="shared" si="16"/>
        <v>Above Target</v>
      </c>
    </row>
    <row r="15" spans="1:34" ht="15" customHeight="1" x14ac:dyDescent="0.25">
      <c r="A15" s="17" t="str">
        <f>Raw_Data!A15</f>
        <v>INV-011</v>
      </c>
      <c r="B15" s="17" t="str">
        <f>Raw_Data!B15</f>
        <v>Premium Product Line – Central</v>
      </c>
      <c r="C15" s="17" t="str">
        <f>Raw_Data!C15</f>
        <v>Product Development</v>
      </c>
      <c r="D15" s="17" t="str">
        <f>Raw_Data!D15</f>
        <v>Operations</v>
      </c>
      <c r="E15" s="17" t="str">
        <f>Raw_Data!E15</f>
        <v>Central</v>
      </c>
      <c r="F15" s="18">
        <f>Raw_Data!F15</f>
        <v>45509</v>
      </c>
      <c r="G15" s="18">
        <f>Raw_Data!G15</f>
        <v>45881</v>
      </c>
      <c r="H15" s="19">
        <f>Raw_Data!H15</f>
        <v>20670000</v>
      </c>
      <c r="I15" s="19">
        <f>Raw_Data!I15</f>
        <v>3360000</v>
      </c>
      <c r="J15" s="19">
        <f t="shared" si="0"/>
        <v>24030000</v>
      </c>
      <c r="K15" s="19">
        <f>Raw_Data!J15</f>
        <v>25610000</v>
      </c>
      <c r="L15" s="19">
        <f>Raw_Data!K15</f>
        <v>25230102.7716843</v>
      </c>
      <c r="M15" s="19">
        <f>Raw_Data!L15</f>
        <v>21668940.899660598</v>
      </c>
      <c r="N15" s="19">
        <f>Raw_Data!M15</f>
        <v>3686889.0832758099</v>
      </c>
      <c r="O15" s="19">
        <f>Raw_Data!N15</f>
        <v>3871983.3583234102</v>
      </c>
      <c r="P15" s="19">
        <f t="shared" si="1"/>
        <v>28916991.85496011</v>
      </c>
      <c r="Q15" s="19">
        <f t="shared" si="2"/>
        <v>25540924.257984009</v>
      </c>
      <c r="R15" s="19">
        <f t="shared" si="3"/>
        <v>1510924.2579840086</v>
      </c>
      <c r="S15" s="20">
        <f t="shared" si="4"/>
        <v>6.2876581688889252E-2</v>
      </c>
      <c r="T15" s="20">
        <f t="shared" si="5"/>
        <v>0.24</v>
      </c>
      <c r="U15" s="20">
        <f t="shared" si="6"/>
        <v>-0.17712341831111073</v>
      </c>
      <c r="V15" s="21">
        <f t="shared" si="7"/>
        <v>4.704215038828969</v>
      </c>
      <c r="W15" s="19">
        <f t="shared" si="8"/>
        <v>-5616136.8097846024</v>
      </c>
      <c r="X15" s="20">
        <f>IFERROR(NPV_IRR!L15,0)</f>
        <v>2.0676798411674024E-2</v>
      </c>
      <c r="Y15" s="20">
        <f t="shared" si="9"/>
        <v>0.12</v>
      </c>
      <c r="Z15" s="17" t="str">
        <f>Raw_Data!O15</f>
        <v>Cancelled</v>
      </c>
      <c r="AA15" s="17" t="str">
        <f>Raw_Data!P15</f>
        <v>High</v>
      </c>
      <c r="AB15" s="17" t="str">
        <f t="shared" si="10"/>
        <v>Underperforming</v>
      </c>
      <c r="AC15" s="17" t="str">
        <f t="shared" si="11"/>
        <v>Review / Restructure</v>
      </c>
      <c r="AD15" s="20">
        <f t="shared" si="12"/>
        <v>0.85885266087697476</v>
      </c>
      <c r="AE15" s="20">
        <f t="shared" si="13"/>
        <v>1.0502033749502286</v>
      </c>
      <c r="AF15" s="19">
        <f t="shared" si="14"/>
        <v>-1580000</v>
      </c>
      <c r="AG15" s="22">
        <f t="shared" si="15"/>
        <v>44.190815381659931</v>
      </c>
      <c r="AH15" s="17" t="str">
        <f t="shared" si="16"/>
        <v>Significantly Below Target</v>
      </c>
    </row>
    <row r="16" spans="1:34" ht="15" customHeight="1" x14ac:dyDescent="0.25">
      <c r="A16" s="17" t="str">
        <f>Raw_Data!A16</f>
        <v>INV-012</v>
      </c>
      <c r="B16" s="17" t="str">
        <f>Raw_Data!B16</f>
        <v>Tier-2 City Expansion – South</v>
      </c>
      <c r="C16" s="17" t="str">
        <f>Raw_Data!C16</f>
        <v>Expansion</v>
      </c>
      <c r="D16" s="17" t="str">
        <f>Raw_Data!D16</f>
        <v>Finance</v>
      </c>
      <c r="E16" s="17" t="str">
        <f>Raw_Data!E16</f>
        <v>South</v>
      </c>
      <c r="F16" s="18">
        <f>Raw_Data!F16</f>
        <v>45969</v>
      </c>
      <c r="G16" s="18">
        <f>Raw_Data!G16</f>
        <v>46674</v>
      </c>
      <c r="H16" s="19">
        <f>Raw_Data!H16</f>
        <v>26920000</v>
      </c>
      <c r="I16" s="19">
        <f>Raw_Data!I16</f>
        <v>2850000</v>
      </c>
      <c r="J16" s="19">
        <f t="shared" si="0"/>
        <v>29770000</v>
      </c>
      <c r="K16" s="19">
        <f>Raw_Data!J16</f>
        <v>30060000</v>
      </c>
      <c r="L16" s="19">
        <f>Raw_Data!K16</f>
        <v>29157878.6868614</v>
      </c>
      <c r="M16" s="19">
        <f>Raw_Data!L16</f>
        <v>30935879.1773289</v>
      </c>
      <c r="N16" s="19">
        <f>Raw_Data!M16</f>
        <v>5375701.0223685298</v>
      </c>
      <c r="O16" s="19">
        <f>Raw_Data!N16</f>
        <v>4111287.48586899</v>
      </c>
      <c r="P16" s="19">
        <f t="shared" si="1"/>
        <v>34533579.709229931</v>
      </c>
      <c r="Q16" s="19">
        <f t="shared" si="2"/>
        <v>35047166.66319789</v>
      </c>
      <c r="R16" s="19">
        <f t="shared" si="3"/>
        <v>5277166.6631978899</v>
      </c>
      <c r="S16" s="20">
        <f t="shared" si="4"/>
        <v>0.17726458391662378</v>
      </c>
      <c r="T16" s="20">
        <f t="shared" si="5"/>
        <v>0.18</v>
      </c>
      <c r="U16" s="20">
        <f t="shared" si="6"/>
        <v>-2.7354160833762131E-3</v>
      </c>
      <c r="V16" s="21">
        <f t="shared" si="7"/>
        <v>4.2471336251070895</v>
      </c>
      <c r="W16" s="19">
        <f t="shared" si="8"/>
        <v>-2505748.7823188342</v>
      </c>
      <c r="X16" s="20">
        <f>IFERROR(NPV_IRR!L16,0)</f>
        <v>5.6985527970591754E-2</v>
      </c>
      <c r="Y16" s="20">
        <f t="shared" si="9"/>
        <v>0.09</v>
      </c>
      <c r="Z16" s="17" t="str">
        <f>Raw_Data!O16</f>
        <v>On Hold</v>
      </c>
      <c r="AA16" s="17" t="str">
        <f>Raw_Data!P16</f>
        <v>Medium</v>
      </c>
      <c r="AB16" s="17" t="str">
        <f t="shared" si="10"/>
        <v>Watch</v>
      </c>
      <c r="AC16" s="17" t="str">
        <f t="shared" si="11"/>
        <v>Review / Restructure</v>
      </c>
      <c r="AD16" s="20">
        <f t="shared" si="12"/>
        <v>1.0609783897368594</v>
      </c>
      <c r="AE16" s="20">
        <f t="shared" si="13"/>
        <v>0.76479094889424482</v>
      </c>
      <c r="AF16" s="19">
        <f t="shared" si="14"/>
        <v>-290000</v>
      </c>
      <c r="AG16" s="22">
        <f t="shared" si="15"/>
        <v>60.505281947927145</v>
      </c>
      <c r="AH16" s="17" t="str">
        <f t="shared" si="16"/>
        <v>On Target</v>
      </c>
    </row>
    <row r="17" spans="1:34" ht="15" customHeight="1" x14ac:dyDescent="0.25">
      <c r="A17" s="17" t="str">
        <f>Raw_Data!A17</f>
        <v>INV-013</v>
      </c>
      <c r="B17" s="17" t="str">
        <f>Raw_Data!B17</f>
        <v>Automated Packaging Line – West</v>
      </c>
      <c r="C17" s="17" t="str">
        <f>Raw_Data!C17</f>
        <v>Equipment</v>
      </c>
      <c r="D17" s="17" t="str">
        <f>Raw_Data!D17</f>
        <v>Sales</v>
      </c>
      <c r="E17" s="17" t="str">
        <f>Raw_Data!E17</f>
        <v>West</v>
      </c>
      <c r="F17" s="18">
        <f>Raw_Data!F17</f>
        <v>45520</v>
      </c>
      <c r="G17" s="18">
        <f>Raw_Data!G17</f>
        <v>46102</v>
      </c>
      <c r="H17" s="19">
        <f>Raw_Data!H17</f>
        <v>10720000</v>
      </c>
      <c r="I17" s="19">
        <f>Raw_Data!I17</f>
        <v>180000</v>
      </c>
      <c r="J17" s="19">
        <f t="shared" si="0"/>
        <v>10900000</v>
      </c>
      <c r="K17" s="19">
        <f>Raw_Data!J17</f>
        <v>11660000</v>
      </c>
      <c r="L17" s="19">
        <f>Raw_Data!K17</f>
        <v>11321576.7330274</v>
      </c>
      <c r="M17" s="19">
        <f>Raw_Data!L17</f>
        <v>10572226.4429301</v>
      </c>
      <c r="N17" s="19">
        <f>Raw_Data!M17</f>
        <v>1468756.48528123</v>
      </c>
      <c r="O17" s="19">
        <f>Raw_Data!N17</f>
        <v>1461475.3958692499</v>
      </c>
      <c r="P17" s="19">
        <f t="shared" si="1"/>
        <v>12790333.218308631</v>
      </c>
      <c r="Q17" s="19">
        <f t="shared" si="2"/>
        <v>12033701.83879935</v>
      </c>
      <c r="R17" s="19">
        <f t="shared" si="3"/>
        <v>1133701.83879935</v>
      </c>
      <c r="S17" s="20">
        <f t="shared" si="4"/>
        <v>0.10400934300911467</v>
      </c>
      <c r="T17" s="20">
        <f t="shared" si="5"/>
        <v>0.17</v>
      </c>
      <c r="U17" s="20">
        <f t="shared" si="6"/>
        <v>-6.5990656990885341E-2</v>
      </c>
      <c r="V17" s="21">
        <f t="shared" si="7"/>
        <v>4.5289471793525573</v>
      </c>
      <c r="W17" s="19">
        <f t="shared" si="8"/>
        <v>-1776560.4564946648</v>
      </c>
      <c r="X17" s="20">
        <f>IFERROR(NPV_IRR!L17,0)</f>
        <v>3.3915998707266359E-2</v>
      </c>
      <c r="Y17" s="20">
        <f t="shared" si="9"/>
        <v>0.1</v>
      </c>
      <c r="Z17" s="17" t="str">
        <f>Raw_Data!O17</f>
        <v>Active</v>
      </c>
      <c r="AA17" s="17" t="str">
        <f>Raw_Data!P17</f>
        <v>Low</v>
      </c>
      <c r="AB17" s="17" t="str">
        <f t="shared" si="10"/>
        <v>Watch</v>
      </c>
      <c r="AC17" s="17" t="str">
        <f t="shared" si="11"/>
        <v>Review / Restructure</v>
      </c>
      <c r="AD17" s="20">
        <f t="shared" si="12"/>
        <v>0.93381219703159468</v>
      </c>
      <c r="AE17" s="20">
        <f t="shared" si="13"/>
        <v>0.9950426844170932</v>
      </c>
      <c r="AF17" s="19">
        <f t="shared" si="14"/>
        <v>-760000</v>
      </c>
      <c r="AG17" s="22">
        <f t="shared" si="15"/>
        <v>56.003742125072279</v>
      </c>
      <c r="AH17" s="17" t="str">
        <f t="shared" si="16"/>
        <v>Significantly Below Target</v>
      </c>
    </row>
    <row r="18" spans="1:34" ht="15" customHeight="1" x14ac:dyDescent="0.25">
      <c r="A18" s="17" t="str">
        <f>Raw_Data!A18</f>
        <v>INV-014</v>
      </c>
      <c r="B18" s="17" t="str">
        <f>Raw_Data!B18</f>
        <v>RPA Finance Rollout – North</v>
      </c>
      <c r="C18" s="17" t="str">
        <f>Raw_Data!C18</f>
        <v>Automation</v>
      </c>
      <c r="D18" s="17" t="str">
        <f>Raw_Data!D18</f>
        <v>IT</v>
      </c>
      <c r="E18" s="17" t="str">
        <f>Raw_Data!E18</f>
        <v>North</v>
      </c>
      <c r="F18" s="18">
        <f>Raw_Data!F18</f>
        <v>45941</v>
      </c>
      <c r="G18" s="18">
        <f>Raw_Data!G18</f>
        <v>46806</v>
      </c>
      <c r="H18" s="19">
        <f>Raw_Data!H18</f>
        <v>15280000</v>
      </c>
      <c r="I18" s="19">
        <f>Raw_Data!I18</f>
        <v>2710000</v>
      </c>
      <c r="J18" s="19">
        <f t="shared" si="0"/>
        <v>17990000</v>
      </c>
      <c r="K18" s="19">
        <f>Raw_Data!J18</f>
        <v>17520000</v>
      </c>
      <c r="L18" s="19">
        <f>Raw_Data!K18</f>
        <v>19607591.1929336</v>
      </c>
      <c r="M18" s="19">
        <f>Raw_Data!L18</f>
        <v>21320183.2855018</v>
      </c>
      <c r="N18" s="19">
        <f>Raw_Data!M18</f>
        <v>1798778.69780675</v>
      </c>
      <c r="O18" s="19">
        <f>Raw_Data!N18</f>
        <v>2036899.2189539999</v>
      </c>
      <c r="P18" s="19">
        <f t="shared" si="1"/>
        <v>21406369.89074035</v>
      </c>
      <c r="Q18" s="19">
        <f t="shared" si="2"/>
        <v>23357082.504455801</v>
      </c>
      <c r="R18" s="19">
        <f t="shared" si="3"/>
        <v>5367082.5044558011</v>
      </c>
      <c r="S18" s="20">
        <f t="shared" si="4"/>
        <v>0.29833699302144528</v>
      </c>
      <c r="T18" s="20">
        <f t="shared" si="5"/>
        <v>0.25</v>
      </c>
      <c r="U18" s="20">
        <f t="shared" si="6"/>
        <v>4.8336993021445285E-2</v>
      </c>
      <c r="V18" s="21">
        <f t="shared" si="7"/>
        <v>3.8510802872250998</v>
      </c>
      <c r="W18" s="19">
        <f t="shared" si="8"/>
        <v>-724925.68615786359</v>
      </c>
      <c r="X18" s="20">
        <f>IFERROR(NPV_IRR!L18,0)</f>
        <v>9.3852407194937371E-2</v>
      </c>
      <c r="Y18" s="20">
        <f t="shared" si="9"/>
        <v>0.11</v>
      </c>
      <c r="Z18" s="17" t="str">
        <f>Raw_Data!O18</f>
        <v>Completed</v>
      </c>
      <c r="AA18" s="17" t="str">
        <f>Raw_Data!P18</f>
        <v>High</v>
      </c>
      <c r="AB18" s="17" t="str">
        <f t="shared" si="10"/>
        <v>Watch</v>
      </c>
      <c r="AC18" s="17" t="str">
        <f t="shared" si="11"/>
        <v>Review / Restructure</v>
      </c>
      <c r="AD18" s="20">
        <f t="shared" si="12"/>
        <v>1.0873433190092929</v>
      </c>
      <c r="AE18" s="20">
        <f t="shared" si="13"/>
        <v>1.1323789977263963</v>
      </c>
      <c r="AF18" s="19">
        <f t="shared" si="14"/>
        <v>470000</v>
      </c>
      <c r="AG18" s="22">
        <f t="shared" si="15"/>
        <v>63.691130098707696</v>
      </c>
      <c r="AH18" s="17" t="str">
        <f t="shared" si="16"/>
        <v>Above Target</v>
      </c>
    </row>
    <row r="19" spans="1:34" ht="15" customHeight="1" x14ac:dyDescent="0.25">
      <c r="A19" s="17" t="str">
        <f>Raw_Data!A19</f>
        <v>INV-015</v>
      </c>
      <c r="B19" s="17" t="str">
        <f>Raw_Data!B19</f>
        <v>Leadership Development – East</v>
      </c>
      <c r="C19" s="17" t="str">
        <f>Raw_Data!C19</f>
        <v>Training</v>
      </c>
      <c r="D19" s="17" t="str">
        <f>Raw_Data!D19</f>
        <v>Product</v>
      </c>
      <c r="E19" s="17" t="str">
        <f>Raw_Data!E19</f>
        <v>East</v>
      </c>
      <c r="F19" s="18">
        <f>Raw_Data!F19</f>
        <v>45613</v>
      </c>
      <c r="G19" s="18">
        <f>Raw_Data!G19</f>
        <v>46314</v>
      </c>
      <c r="H19" s="19">
        <f>Raw_Data!H19</f>
        <v>3450000</v>
      </c>
      <c r="I19" s="19">
        <f>Raw_Data!I19</f>
        <v>90000</v>
      </c>
      <c r="J19" s="19">
        <f t="shared" si="0"/>
        <v>3540000</v>
      </c>
      <c r="K19" s="19">
        <f>Raw_Data!J19</f>
        <v>3400000</v>
      </c>
      <c r="L19" s="19">
        <f>Raw_Data!K19</f>
        <v>3523896.2233670801</v>
      </c>
      <c r="M19" s="19">
        <f>Raw_Data!L19</f>
        <v>3284921.6339882901</v>
      </c>
      <c r="N19" s="19">
        <f>Raw_Data!M19</f>
        <v>471566.98995636898</v>
      </c>
      <c r="O19" s="19">
        <f>Raw_Data!N19</f>
        <v>477707.47113985399</v>
      </c>
      <c r="P19" s="19">
        <f t="shared" si="1"/>
        <v>3995463.2133234493</v>
      </c>
      <c r="Q19" s="19">
        <f t="shared" si="2"/>
        <v>3762629.1051281439</v>
      </c>
      <c r="R19" s="19">
        <f t="shared" si="3"/>
        <v>222629.10512814391</v>
      </c>
      <c r="S19" s="20">
        <f t="shared" si="4"/>
        <v>6.2889577719814668E-2</v>
      </c>
      <c r="T19" s="20">
        <f t="shared" si="5"/>
        <v>0.15</v>
      </c>
      <c r="U19" s="20">
        <f t="shared" si="6"/>
        <v>-8.7110422280185326E-2</v>
      </c>
      <c r="V19" s="21">
        <f t="shared" si="7"/>
        <v>4.7041575200373593</v>
      </c>
      <c r="W19" s="19">
        <f t="shared" si="8"/>
        <v>-758742.06236716406</v>
      </c>
      <c r="X19" s="20">
        <f>IFERROR(NPV_IRR!L19,0)</f>
        <v>2.0681015948993187E-2</v>
      </c>
      <c r="Y19" s="20">
        <f t="shared" si="9"/>
        <v>0.11</v>
      </c>
      <c r="Z19" s="17" t="str">
        <f>Raw_Data!O19</f>
        <v>Cancelled</v>
      </c>
      <c r="AA19" s="17" t="str">
        <f>Raw_Data!P19</f>
        <v>Medium</v>
      </c>
      <c r="AB19" s="17" t="str">
        <f t="shared" si="10"/>
        <v>Watch</v>
      </c>
      <c r="AC19" s="17" t="str">
        <f t="shared" si="11"/>
        <v>Review / Restructure</v>
      </c>
      <c r="AD19" s="20">
        <f t="shared" si="12"/>
        <v>0.9321845553242627</v>
      </c>
      <c r="AE19" s="20">
        <f t="shared" si="13"/>
        <v>1.0130214398256612</v>
      </c>
      <c r="AF19" s="19">
        <f t="shared" si="14"/>
        <v>140000</v>
      </c>
      <c r="AG19" s="22">
        <f t="shared" si="15"/>
        <v>52.165235240799191</v>
      </c>
      <c r="AH19" s="17" t="str">
        <f t="shared" si="16"/>
        <v>Significantly Below Target</v>
      </c>
    </row>
    <row r="20" spans="1:34" ht="15" customHeight="1" x14ac:dyDescent="0.25">
      <c r="A20" s="17" t="str">
        <f>Raw_Data!A20</f>
        <v>INV-016</v>
      </c>
      <c r="B20" s="17" t="str">
        <f>Raw_Data!B20</f>
        <v>Plant Utility Upgrade – Central</v>
      </c>
      <c r="C20" s="17" t="str">
        <f>Raw_Data!C20</f>
        <v>Infrastructure</v>
      </c>
      <c r="D20" s="17" t="str">
        <f>Raw_Data!D20</f>
        <v>Marketing</v>
      </c>
      <c r="E20" s="17" t="str">
        <f>Raw_Data!E20</f>
        <v>Central</v>
      </c>
      <c r="F20" s="18">
        <f>Raw_Data!F20</f>
        <v>45525</v>
      </c>
      <c r="G20" s="18">
        <f>Raw_Data!G20</f>
        <v>45729</v>
      </c>
      <c r="H20" s="19">
        <f>Raw_Data!H20</f>
        <v>34060000</v>
      </c>
      <c r="I20" s="19">
        <f>Raw_Data!I20</f>
        <v>1920000</v>
      </c>
      <c r="J20" s="19">
        <f t="shared" si="0"/>
        <v>35980000</v>
      </c>
      <c r="K20" s="19">
        <f>Raw_Data!J20</f>
        <v>38180000</v>
      </c>
      <c r="L20" s="19">
        <f>Raw_Data!K20</f>
        <v>37389897.7857695</v>
      </c>
      <c r="M20" s="19">
        <f>Raw_Data!L20</f>
        <v>36833427.268160596</v>
      </c>
      <c r="N20" s="19">
        <f>Raw_Data!M20</f>
        <v>5480928.7312923502</v>
      </c>
      <c r="O20" s="19">
        <f>Raw_Data!N20</f>
        <v>5217002.0290431399</v>
      </c>
      <c r="P20" s="19">
        <f t="shared" si="1"/>
        <v>42870826.517061852</v>
      </c>
      <c r="Q20" s="19">
        <f t="shared" si="2"/>
        <v>42050429.297203735</v>
      </c>
      <c r="R20" s="19">
        <f t="shared" si="3"/>
        <v>6070429.2972037345</v>
      </c>
      <c r="S20" s="20">
        <f t="shared" si="4"/>
        <v>0.16871676757097651</v>
      </c>
      <c r="T20" s="20">
        <f t="shared" si="5"/>
        <v>0.13</v>
      </c>
      <c r="U20" s="20">
        <f t="shared" si="6"/>
        <v>3.8716767570976501E-2</v>
      </c>
      <c r="V20" s="21">
        <f t="shared" si="7"/>
        <v>4.2781965132508875</v>
      </c>
      <c r="W20" s="19">
        <f t="shared" si="8"/>
        <v>-4099157.7944429442</v>
      </c>
      <c r="X20" s="20">
        <f>IFERROR(NPV_IRR!L20,0)</f>
        <v>5.4325330188333298E-2</v>
      </c>
      <c r="Y20" s="20">
        <f t="shared" si="9"/>
        <v>0.1</v>
      </c>
      <c r="Z20" s="17" t="str">
        <f>Raw_Data!O20</f>
        <v>On Hold</v>
      </c>
      <c r="AA20" s="17" t="str">
        <f>Raw_Data!P20</f>
        <v>Low</v>
      </c>
      <c r="AB20" s="17" t="str">
        <f t="shared" si="10"/>
        <v>Watch</v>
      </c>
      <c r="AC20" s="17" t="str">
        <f t="shared" si="11"/>
        <v>Review / Restructure</v>
      </c>
      <c r="AD20" s="20">
        <f t="shared" si="12"/>
        <v>0.98511708909189122</v>
      </c>
      <c r="AE20" s="20">
        <f t="shared" si="13"/>
        <v>0.9518463539322507</v>
      </c>
      <c r="AF20" s="19">
        <f t="shared" si="14"/>
        <v>-2200000</v>
      </c>
      <c r="AG20" s="22">
        <f t="shared" si="15"/>
        <v>64.934135323181749</v>
      </c>
      <c r="AH20" s="17" t="str">
        <f t="shared" si="16"/>
        <v>Above Target</v>
      </c>
    </row>
    <row r="21" spans="1:34" ht="15" customHeight="1" x14ac:dyDescent="0.25">
      <c r="A21" s="17" t="str">
        <f>Raw_Data!A21</f>
        <v>INV-017</v>
      </c>
      <c r="B21" s="17" t="str">
        <f>Raw_Data!B21</f>
        <v>ERP Cloud Migration – South</v>
      </c>
      <c r="C21" s="17" t="str">
        <f>Raw_Data!C21</f>
        <v>Technology</v>
      </c>
      <c r="D21" s="17" t="str">
        <f>Raw_Data!D21</f>
        <v>HR</v>
      </c>
      <c r="E21" s="17" t="str">
        <f>Raw_Data!E21</f>
        <v>South</v>
      </c>
      <c r="F21" s="18">
        <f>Raw_Data!F21</f>
        <v>45835</v>
      </c>
      <c r="G21" s="18">
        <f>Raw_Data!G21</f>
        <v>46722</v>
      </c>
      <c r="H21" s="19">
        <f>Raw_Data!H21</f>
        <v>33580000</v>
      </c>
      <c r="I21" s="19">
        <f>Raw_Data!I21</f>
        <v>60000</v>
      </c>
      <c r="J21" s="19">
        <f t="shared" si="0"/>
        <v>33640000</v>
      </c>
      <c r="K21" s="19">
        <f>Raw_Data!J21</f>
        <v>35520000</v>
      </c>
      <c r="L21" s="19">
        <f>Raw_Data!K21</f>
        <v>32261025.285473701</v>
      </c>
      <c r="M21" s="19">
        <f>Raw_Data!L21</f>
        <v>34699057.837985396</v>
      </c>
      <c r="N21" s="19">
        <f>Raw_Data!M21</f>
        <v>6416313.5250781504</v>
      </c>
      <c r="O21" s="19">
        <f>Raw_Data!N21</f>
        <v>6684370.47520045</v>
      </c>
      <c r="P21" s="19">
        <f t="shared" si="1"/>
        <v>38677338.810551852</v>
      </c>
      <c r="Q21" s="19">
        <f t="shared" si="2"/>
        <v>41383428.313185848</v>
      </c>
      <c r="R21" s="19">
        <f t="shared" si="3"/>
        <v>7743428.3131858483</v>
      </c>
      <c r="S21" s="20">
        <f t="shared" si="4"/>
        <v>0.23018514605189799</v>
      </c>
      <c r="T21" s="20">
        <f t="shared" si="5"/>
        <v>0.2</v>
      </c>
      <c r="U21" s="20">
        <f t="shared" si="6"/>
        <v>3.0185146051897982E-2</v>
      </c>
      <c r="V21" s="21">
        <f t="shared" si="7"/>
        <v>4.0644288512560731</v>
      </c>
      <c r="W21" s="19">
        <f t="shared" si="8"/>
        <v>-3050222.1434372067</v>
      </c>
      <c r="X21" s="20">
        <f>IFERROR(NPV_IRR!L21,0)</f>
        <v>7.3280887802852357E-2</v>
      </c>
      <c r="Y21" s="20">
        <f t="shared" si="9"/>
        <v>0.11</v>
      </c>
      <c r="Z21" s="17" t="str">
        <f>Raw_Data!O21</f>
        <v>Active</v>
      </c>
      <c r="AA21" s="17" t="str">
        <f>Raw_Data!P21</f>
        <v>High</v>
      </c>
      <c r="AB21" s="17" t="str">
        <f t="shared" si="10"/>
        <v>Watch</v>
      </c>
      <c r="AC21" s="17" t="str">
        <f t="shared" si="11"/>
        <v>Review / Restructure</v>
      </c>
      <c r="AD21" s="20">
        <f t="shared" si="12"/>
        <v>1.0755720728320894</v>
      </c>
      <c r="AE21" s="20">
        <f t="shared" si="13"/>
        <v>1.0417774083318403</v>
      </c>
      <c r="AF21" s="19">
        <f t="shared" si="14"/>
        <v>-1880000</v>
      </c>
      <c r="AG21" s="22">
        <f t="shared" si="15"/>
        <v>63.129347786843681</v>
      </c>
      <c r="AH21" s="17" t="str">
        <f t="shared" si="16"/>
        <v>Above Target</v>
      </c>
    </row>
    <row r="22" spans="1:34" ht="15" customHeight="1" x14ac:dyDescent="0.25">
      <c r="A22" s="17" t="str">
        <f>Raw_Data!A22</f>
        <v>INV-018</v>
      </c>
      <c r="B22" s="17" t="str">
        <f>Raw_Data!B22</f>
        <v>Brand Repositioning – West</v>
      </c>
      <c r="C22" s="17" t="str">
        <f>Raw_Data!C22</f>
        <v>Marketing</v>
      </c>
      <c r="D22" s="17" t="str">
        <f>Raw_Data!D22</f>
        <v>Supply Chain</v>
      </c>
      <c r="E22" s="17" t="str">
        <f>Raw_Data!E22</f>
        <v>West</v>
      </c>
      <c r="F22" s="18">
        <f>Raw_Data!F22</f>
        <v>46035</v>
      </c>
      <c r="G22" s="18">
        <f>Raw_Data!G22</f>
        <v>46693</v>
      </c>
      <c r="H22" s="19">
        <f>Raw_Data!H22</f>
        <v>10950000</v>
      </c>
      <c r="I22" s="19">
        <f>Raw_Data!I22</f>
        <v>1390000</v>
      </c>
      <c r="J22" s="19">
        <f t="shared" si="0"/>
        <v>12340000</v>
      </c>
      <c r="K22" s="19">
        <f>Raw_Data!J22</f>
        <v>12110000</v>
      </c>
      <c r="L22" s="19">
        <f>Raw_Data!K22</f>
        <v>13817837.614977</v>
      </c>
      <c r="M22" s="19">
        <f>Raw_Data!L22</f>
        <v>13091440.028385401</v>
      </c>
      <c r="N22" s="19">
        <f>Raw_Data!M22</f>
        <v>1019163.57028795</v>
      </c>
      <c r="O22" s="19">
        <f>Raw_Data!N22</f>
        <v>1169191.11104093</v>
      </c>
      <c r="P22" s="19">
        <f t="shared" si="1"/>
        <v>14837001.185264951</v>
      </c>
      <c r="Q22" s="19">
        <f t="shared" si="2"/>
        <v>14260631.13942633</v>
      </c>
      <c r="R22" s="19">
        <f t="shared" si="3"/>
        <v>1920631.1394263301</v>
      </c>
      <c r="S22" s="20">
        <f t="shared" si="4"/>
        <v>0.15564271794378687</v>
      </c>
      <c r="T22" s="20">
        <f t="shared" si="5"/>
        <v>0.22</v>
      </c>
      <c r="U22" s="20">
        <f t="shared" si="6"/>
        <v>-6.4357282056213133E-2</v>
      </c>
      <c r="V22" s="21">
        <f t="shared" si="7"/>
        <v>4.3265967261026876</v>
      </c>
      <c r="W22" s="19">
        <f t="shared" si="8"/>
        <v>-1798835.1803990286</v>
      </c>
      <c r="X22" s="20">
        <f>IFERROR(NPV_IRR!L22,0)</f>
        <v>5.0240763828989454E-2</v>
      </c>
      <c r="Y22" s="20">
        <f t="shared" si="9"/>
        <v>0.11</v>
      </c>
      <c r="Z22" s="17" t="str">
        <f>Raw_Data!O22</f>
        <v>Completed</v>
      </c>
      <c r="AA22" s="17" t="str">
        <f>Raw_Data!P22</f>
        <v>Medium</v>
      </c>
      <c r="AB22" s="17" t="str">
        <f t="shared" si="10"/>
        <v>Watch</v>
      </c>
      <c r="AC22" s="17" t="str">
        <f t="shared" si="11"/>
        <v>Review / Restructure</v>
      </c>
      <c r="AD22" s="20">
        <f t="shared" si="12"/>
        <v>0.94743044412359678</v>
      </c>
      <c r="AE22" s="20">
        <f t="shared" si="13"/>
        <v>1.1472065379167664</v>
      </c>
      <c r="AF22" s="19">
        <f t="shared" si="14"/>
        <v>230000</v>
      </c>
      <c r="AG22" s="22">
        <f t="shared" si="15"/>
        <v>54.860413633665793</v>
      </c>
      <c r="AH22" s="17" t="str">
        <f t="shared" si="16"/>
        <v>Significantly Below Target</v>
      </c>
    </row>
    <row r="23" spans="1:34" ht="15" customHeight="1" x14ac:dyDescent="0.25">
      <c r="A23" s="17" t="str">
        <f>Raw_Data!A23</f>
        <v>INV-019</v>
      </c>
      <c r="B23" s="17" t="str">
        <f>Raw_Data!B23</f>
        <v>Premium Product Line – North</v>
      </c>
      <c r="C23" s="17" t="str">
        <f>Raw_Data!C23</f>
        <v>Product Development</v>
      </c>
      <c r="D23" s="17" t="str">
        <f>Raw_Data!D23</f>
        <v>Operations</v>
      </c>
      <c r="E23" s="17" t="str">
        <f>Raw_Data!E23</f>
        <v>North</v>
      </c>
      <c r="F23" s="18">
        <f>Raw_Data!F23</f>
        <v>45477</v>
      </c>
      <c r="G23" s="18">
        <f>Raw_Data!G23</f>
        <v>45945</v>
      </c>
      <c r="H23" s="19">
        <f>Raw_Data!H23</f>
        <v>23510000</v>
      </c>
      <c r="I23" s="19">
        <f>Raw_Data!I23</f>
        <v>3220000</v>
      </c>
      <c r="J23" s="19">
        <f t="shared" si="0"/>
        <v>26730000</v>
      </c>
      <c r="K23" s="19">
        <f>Raw_Data!J23</f>
        <v>26330000</v>
      </c>
      <c r="L23" s="19">
        <f>Raw_Data!K23</f>
        <v>31695002.7019994</v>
      </c>
      <c r="M23" s="19">
        <f>Raw_Data!L23</f>
        <v>25030940.867413402</v>
      </c>
      <c r="N23" s="19">
        <f>Raw_Data!M23</f>
        <v>3081235.46722196</v>
      </c>
      <c r="O23" s="19">
        <f>Raw_Data!N23</f>
        <v>3142735.7964737401</v>
      </c>
      <c r="P23" s="19">
        <f t="shared" si="1"/>
        <v>34776238.169221357</v>
      </c>
      <c r="Q23" s="19">
        <f t="shared" si="2"/>
        <v>28173676.663887143</v>
      </c>
      <c r="R23" s="19">
        <f t="shared" si="3"/>
        <v>1443676.6638871431</v>
      </c>
      <c r="S23" s="20">
        <f t="shared" si="4"/>
        <v>5.400960209080221E-2</v>
      </c>
      <c r="T23" s="20">
        <f t="shared" si="5"/>
        <v>0.24</v>
      </c>
      <c r="U23" s="20">
        <f t="shared" si="6"/>
        <v>-0.18599039790919777</v>
      </c>
      <c r="V23" s="21">
        <f t="shared" si="7"/>
        <v>4.7437898004739933</v>
      </c>
      <c r="W23" s="19">
        <f t="shared" si="8"/>
        <v>-5369919.8513890207</v>
      </c>
      <c r="X23" s="20">
        <f>IFERROR(NPV_IRR!L23,0)</f>
        <v>1.779400062275438E-2</v>
      </c>
      <c r="Y23" s="20">
        <f t="shared" si="9"/>
        <v>0.1</v>
      </c>
      <c r="Z23" s="17" t="str">
        <f>Raw_Data!O23</f>
        <v>Cancelled</v>
      </c>
      <c r="AA23" s="17" t="str">
        <f>Raw_Data!P23</f>
        <v>Low</v>
      </c>
      <c r="AB23" s="17" t="str">
        <f t="shared" si="10"/>
        <v>Underperforming</v>
      </c>
      <c r="AC23" s="17" t="str">
        <f t="shared" si="11"/>
        <v>Review / Restructure</v>
      </c>
      <c r="AD23" s="20">
        <f t="shared" si="12"/>
        <v>0.78974408372062976</v>
      </c>
      <c r="AE23" s="20">
        <f t="shared" si="13"/>
        <v>1.0199596330452567</v>
      </c>
      <c r="AF23" s="19">
        <f t="shared" si="14"/>
        <v>400000</v>
      </c>
      <c r="AG23" s="22">
        <f t="shared" si="15"/>
        <v>43.983485838956412</v>
      </c>
      <c r="AH23" s="17" t="str">
        <f t="shared" si="16"/>
        <v>Significantly Below Target</v>
      </c>
    </row>
    <row r="24" spans="1:34" ht="15" customHeight="1" x14ac:dyDescent="0.25">
      <c r="A24" s="17" t="str">
        <f>Raw_Data!A24</f>
        <v>INV-020</v>
      </c>
      <c r="B24" s="17" t="str">
        <f>Raw_Data!B24</f>
        <v>Tier-2 City Expansion – East</v>
      </c>
      <c r="C24" s="17" t="str">
        <f>Raw_Data!C24</f>
        <v>Expansion</v>
      </c>
      <c r="D24" s="17" t="str">
        <f>Raw_Data!D24</f>
        <v>Finance</v>
      </c>
      <c r="E24" s="17" t="str">
        <f>Raw_Data!E24</f>
        <v>East</v>
      </c>
      <c r="F24" s="18">
        <f>Raw_Data!F24</f>
        <v>45981</v>
      </c>
      <c r="G24" s="18">
        <f>Raw_Data!G24</f>
        <v>46854</v>
      </c>
      <c r="H24" s="19">
        <f>Raw_Data!H24</f>
        <v>47110000</v>
      </c>
      <c r="I24" s="19">
        <f>Raw_Data!I24</f>
        <v>8260000</v>
      </c>
      <c r="J24" s="19">
        <f t="shared" si="0"/>
        <v>55370000</v>
      </c>
      <c r="K24" s="19">
        <f>Raw_Data!J24</f>
        <v>59140000</v>
      </c>
      <c r="L24" s="19">
        <f>Raw_Data!K24</f>
        <v>57543637.248100802</v>
      </c>
      <c r="M24" s="19">
        <f>Raw_Data!L24</f>
        <v>53403555.325403102</v>
      </c>
      <c r="N24" s="19">
        <f>Raw_Data!M24</f>
        <v>4055221.7159439102</v>
      </c>
      <c r="O24" s="19">
        <f>Raw_Data!N24</f>
        <v>4616808.8640569504</v>
      </c>
      <c r="P24" s="19">
        <f t="shared" si="1"/>
        <v>61598858.964044712</v>
      </c>
      <c r="Q24" s="19">
        <f t="shared" si="2"/>
        <v>58020364.189460054</v>
      </c>
      <c r="R24" s="19">
        <f t="shared" si="3"/>
        <v>2650364.189460054</v>
      </c>
      <c r="S24" s="20">
        <f t="shared" si="4"/>
        <v>4.786642928408983E-2</v>
      </c>
      <c r="T24" s="20">
        <f t="shared" si="5"/>
        <v>0.18</v>
      </c>
      <c r="U24" s="20">
        <f t="shared" si="6"/>
        <v>-0.13213357071591017</v>
      </c>
      <c r="V24" s="21">
        <f t="shared" si="7"/>
        <v>4.7716005210855332</v>
      </c>
      <c r="W24" s="19">
        <f t="shared" si="8"/>
        <v>-10234203.426068015</v>
      </c>
      <c r="X24" s="20">
        <f>IFERROR(NPV_IRR!L24,0)</f>
        <v>1.5790564773516147E-2</v>
      </c>
      <c r="Y24" s="20">
        <f t="shared" si="9"/>
        <v>0.09</v>
      </c>
      <c r="Z24" s="17" t="str">
        <f>Raw_Data!O24</f>
        <v>On Hold</v>
      </c>
      <c r="AA24" s="17" t="str">
        <f>Raw_Data!P24</f>
        <v>High</v>
      </c>
      <c r="AB24" s="17" t="str">
        <f t="shared" si="10"/>
        <v>Underperforming</v>
      </c>
      <c r="AC24" s="17" t="str">
        <f t="shared" si="11"/>
        <v>Review / Restructure</v>
      </c>
      <c r="AD24" s="20">
        <f t="shared" si="12"/>
        <v>0.92805317632516626</v>
      </c>
      <c r="AE24" s="20">
        <f t="shared" si="13"/>
        <v>1.138484942982291</v>
      </c>
      <c r="AF24" s="19">
        <f t="shared" si="14"/>
        <v>-3770000</v>
      </c>
      <c r="AG24" s="22">
        <f t="shared" si="15"/>
        <v>49.782722279868587</v>
      </c>
      <c r="AH24" s="17" t="str">
        <f t="shared" si="16"/>
        <v>Significantly Below Target</v>
      </c>
    </row>
    <row r="25" spans="1:34" ht="15" customHeight="1" x14ac:dyDescent="0.25">
      <c r="A25" s="17" t="str">
        <f>Raw_Data!A25</f>
        <v>INV-021</v>
      </c>
      <c r="B25" s="17" t="str">
        <f>Raw_Data!B25</f>
        <v>Automated Packaging Line – Central</v>
      </c>
      <c r="C25" s="17" t="str">
        <f>Raw_Data!C25</f>
        <v>Equipment</v>
      </c>
      <c r="D25" s="17" t="str">
        <f>Raw_Data!D25</f>
        <v>Sales</v>
      </c>
      <c r="E25" s="17" t="str">
        <f>Raw_Data!E25</f>
        <v>Central</v>
      </c>
      <c r="F25" s="18">
        <f>Raw_Data!F25</f>
        <v>45841</v>
      </c>
      <c r="G25" s="18">
        <f>Raw_Data!G25</f>
        <v>46370</v>
      </c>
      <c r="H25" s="19">
        <f>Raw_Data!H25</f>
        <v>15920000</v>
      </c>
      <c r="I25" s="19">
        <f>Raw_Data!I25</f>
        <v>2290000</v>
      </c>
      <c r="J25" s="19">
        <f t="shared" si="0"/>
        <v>18210000</v>
      </c>
      <c r="K25" s="19">
        <f>Raw_Data!J25</f>
        <v>20030000</v>
      </c>
      <c r="L25" s="19">
        <f>Raw_Data!K25</f>
        <v>18814519.607955601</v>
      </c>
      <c r="M25" s="19">
        <f>Raw_Data!L25</f>
        <v>18995950.483585</v>
      </c>
      <c r="N25" s="19">
        <f>Raw_Data!M25</f>
        <v>2142375.4251247202</v>
      </c>
      <c r="O25" s="19">
        <f>Raw_Data!N25</f>
        <v>1835218.67813887</v>
      </c>
      <c r="P25" s="19">
        <f t="shared" si="1"/>
        <v>20956895.033080321</v>
      </c>
      <c r="Q25" s="19">
        <f t="shared" si="2"/>
        <v>20831169.161723871</v>
      </c>
      <c r="R25" s="19">
        <f t="shared" si="3"/>
        <v>2621169.1617238708</v>
      </c>
      <c r="S25" s="20">
        <f t="shared" si="4"/>
        <v>0.14394119504249703</v>
      </c>
      <c r="T25" s="20">
        <f t="shared" si="5"/>
        <v>0.17</v>
      </c>
      <c r="U25" s="20">
        <f t="shared" si="6"/>
        <v>-2.6058804957502985E-2</v>
      </c>
      <c r="V25" s="21">
        <f t="shared" si="7"/>
        <v>4.3708540453552347</v>
      </c>
      <c r="W25" s="19">
        <f t="shared" si="8"/>
        <v>-2416695.9100855757</v>
      </c>
      <c r="X25" s="20">
        <f>IFERROR(NPV_IRR!L25,0)</f>
        <v>4.6568564713683758E-2</v>
      </c>
      <c r="Y25" s="20">
        <f t="shared" si="9"/>
        <v>0.1</v>
      </c>
      <c r="Z25" s="17" t="str">
        <f>Raw_Data!O25</f>
        <v>Active</v>
      </c>
      <c r="AA25" s="17" t="str">
        <f>Raw_Data!P25</f>
        <v>Medium</v>
      </c>
      <c r="AB25" s="17" t="str">
        <f t="shared" si="10"/>
        <v>Watch</v>
      </c>
      <c r="AC25" s="17" t="str">
        <f t="shared" si="11"/>
        <v>Review / Restructure</v>
      </c>
      <c r="AD25" s="20">
        <f t="shared" si="12"/>
        <v>1.0096431309121856</v>
      </c>
      <c r="AE25" s="20">
        <f t="shared" si="13"/>
        <v>0.85662795447349349</v>
      </c>
      <c r="AF25" s="19">
        <f t="shared" si="14"/>
        <v>-1820000</v>
      </c>
      <c r="AG25" s="22">
        <f t="shared" si="15"/>
        <v>58.740033576755664</v>
      </c>
      <c r="AH25" s="17" t="str">
        <f t="shared" si="16"/>
        <v>Below Target</v>
      </c>
    </row>
    <row r="26" spans="1:34" ht="15" customHeight="1" x14ac:dyDescent="0.25">
      <c r="A26" s="17" t="str">
        <f>Raw_Data!A26</f>
        <v>INV-022</v>
      </c>
      <c r="B26" s="17" t="str">
        <f>Raw_Data!B26</f>
        <v>RPA Finance Rollout – South</v>
      </c>
      <c r="C26" s="17" t="str">
        <f>Raw_Data!C26</f>
        <v>Automation</v>
      </c>
      <c r="D26" s="17" t="str">
        <f>Raw_Data!D26</f>
        <v>IT</v>
      </c>
      <c r="E26" s="17" t="str">
        <f>Raw_Data!E26</f>
        <v>South</v>
      </c>
      <c r="F26" s="18">
        <f>Raw_Data!F26</f>
        <v>45749</v>
      </c>
      <c r="G26" s="18">
        <f>Raw_Data!G26</f>
        <v>46008</v>
      </c>
      <c r="H26" s="19">
        <f>Raw_Data!H26</f>
        <v>28310000</v>
      </c>
      <c r="I26" s="19">
        <f>Raw_Data!I26</f>
        <v>1340000</v>
      </c>
      <c r="J26" s="19">
        <f t="shared" si="0"/>
        <v>29650000</v>
      </c>
      <c r="K26" s="19">
        <f>Raw_Data!J26</f>
        <v>28110000</v>
      </c>
      <c r="L26" s="19">
        <f>Raw_Data!K26</f>
        <v>35838058.211105697</v>
      </c>
      <c r="M26" s="19">
        <f>Raw_Data!L26</f>
        <v>32805694.675625801</v>
      </c>
      <c r="N26" s="19">
        <f>Raw_Data!M26</f>
        <v>3049278.4366832799</v>
      </c>
      <c r="O26" s="19">
        <f>Raw_Data!N26</f>
        <v>3434039.5506401099</v>
      </c>
      <c r="P26" s="19">
        <f t="shared" si="1"/>
        <v>38887336.647788979</v>
      </c>
      <c r="Q26" s="19">
        <f t="shared" si="2"/>
        <v>36239734.226265907</v>
      </c>
      <c r="R26" s="19">
        <f t="shared" si="3"/>
        <v>6589734.2262659073</v>
      </c>
      <c r="S26" s="20">
        <f t="shared" si="4"/>
        <v>0.22225073275770346</v>
      </c>
      <c r="T26" s="20">
        <f t="shared" si="5"/>
        <v>0.25</v>
      </c>
      <c r="U26" s="20">
        <f t="shared" si="6"/>
        <v>-2.7749267242296538E-2</v>
      </c>
      <c r="V26" s="21">
        <f t="shared" si="7"/>
        <v>4.0908136653096934</v>
      </c>
      <c r="W26" s="19">
        <f t="shared" si="8"/>
        <v>-2174578.9936385378</v>
      </c>
      <c r="X26" s="20">
        <f>IFERROR(NPV_IRR!L26,0)</f>
        <v>7.0856309984055343E-2</v>
      </c>
      <c r="Y26" s="20">
        <f t="shared" si="9"/>
        <v>0.1</v>
      </c>
      <c r="Z26" s="17" t="str">
        <f>Raw_Data!O26</f>
        <v>Completed</v>
      </c>
      <c r="AA26" s="17" t="str">
        <f>Raw_Data!P26</f>
        <v>Low</v>
      </c>
      <c r="AB26" s="17" t="str">
        <f t="shared" si="10"/>
        <v>Watch</v>
      </c>
      <c r="AC26" s="17" t="str">
        <f t="shared" si="11"/>
        <v>Review / Restructure</v>
      </c>
      <c r="AD26" s="20">
        <f t="shared" si="12"/>
        <v>0.91538705814869703</v>
      </c>
      <c r="AE26" s="20">
        <f t="shared" si="13"/>
        <v>1.1261810365783904</v>
      </c>
      <c r="AF26" s="19">
        <f t="shared" si="14"/>
        <v>1540000</v>
      </c>
      <c r="AG26" s="22">
        <f t="shared" si="15"/>
        <v>57.24888661149928</v>
      </c>
      <c r="AH26" s="17" t="str">
        <f t="shared" si="16"/>
        <v>Below Target</v>
      </c>
    </row>
    <row r="27" spans="1:34" ht="15" customHeight="1" x14ac:dyDescent="0.25">
      <c r="A27" s="17" t="str">
        <f>Raw_Data!A27</f>
        <v>INV-023</v>
      </c>
      <c r="B27" s="17" t="str">
        <f>Raw_Data!B27</f>
        <v>Leadership Development – West</v>
      </c>
      <c r="C27" s="17" t="str">
        <f>Raw_Data!C27</f>
        <v>Training</v>
      </c>
      <c r="D27" s="17" t="str">
        <f>Raw_Data!D27</f>
        <v>Product</v>
      </c>
      <c r="E27" s="17" t="str">
        <f>Raw_Data!E27</f>
        <v>West</v>
      </c>
      <c r="F27" s="18">
        <f>Raw_Data!F27</f>
        <v>45488</v>
      </c>
      <c r="G27" s="18">
        <f>Raw_Data!G27</f>
        <v>45785</v>
      </c>
      <c r="H27" s="19">
        <f>Raw_Data!H27</f>
        <v>2400000</v>
      </c>
      <c r="I27" s="19">
        <f>Raw_Data!I27</f>
        <v>270000</v>
      </c>
      <c r="J27" s="19">
        <f t="shared" si="0"/>
        <v>2670000</v>
      </c>
      <c r="K27" s="19">
        <f>Raw_Data!J27</f>
        <v>2590000</v>
      </c>
      <c r="L27" s="19">
        <f>Raw_Data!K27</f>
        <v>2793493.9127121302</v>
      </c>
      <c r="M27" s="19">
        <f>Raw_Data!L27</f>
        <v>2111409.8130664998</v>
      </c>
      <c r="N27" s="19">
        <f>Raw_Data!M27</f>
        <v>196009.43910297001</v>
      </c>
      <c r="O27" s="19">
        <f>Raw_Data!N27</f>
        <v>175832.79751078499</v>
      </c>
      <c r="P27" s="19">
        <f t="shared" si="1"/>
        <v>2989503.3518151003</v>
      </c>
      <c r="Q27" s="19">
        <f t="shared" si="2"/>
        <v>2287242.6105772848</v>
      </c>
      <c r="R27" s="19">
        <f t="shared" si="3"/>
        <v>-382757.38942271518</v>
      </c>
      <c r="S27" s="20">
        <f t="shared" si="4"/>
        <v>-0.14335482749914427</v>
      </c>
      <c r="T27" s="20">
        <f t="shared" si="5"/>
        <v>0.15</v>
      </c>
      <c r="U27" s="20">
        <f t="shared" si="6"/>
        <v>-0.29335482749914427</v>
      </c>
      <c r="V27" s="21">
        <f t="shared" si="7"/>
        <v>5.8367223215689163</v>
      </c>
      <c r="W27" s="19">
        <f t="shared" si="8"/>
        <v>-1021000.4536803083</v>
      </c>
      <c r="X27" s="20">
        <f>IFERROR(NPV_IRR!L27,0)</f>
        <v>-4.9455335111972087E-2</v>
      </c>
      <c r="Y27" s="20">
        <f t="shared" si="9"/>
        <v>0.12</v>
      </c>
      <c r="Z27" s="17" t="str">
        <f>Raw_Data!O27</f>
        <v>Cancelled</v>
      </c>
      <c r="AA27" s="17" t="str">
        <f>Raw_Data!P27</f>
        <v>High</v>
      </c>
      <c r="AB27" s="17" t="str">
        <f t="shared" si="10"/>
        <v>Underperforming</v>
      </c>
      <c r="AC27" s="17" t="str">
        <f t="shared" si="11"/>
        <v>Review / Restructure</v>
      </c>
      <c r="AD27" s="20">
        <f t="shared" si="12"/>
        <v>0.7558311845457315</v>
      </c>
      <c r="AE27" s="20">
        <f t="shared" si="13"/>
        <v>0.89706290837562375</v>
      </c>
      <c r="AF27" s="19">
        <f t="shared" si="14"/>
        <v>80000</v>
      </c>
      <c r="AG27" s="22">
        <f t="shared" si="15"/>
        <v>36.653200778320986</v>
      </c>
      <c r="AH27" s="17" t="str">
        <f t="shared" si="16"/>
        <v>Significantly Below Target</v>
      </c>
    </row>
    <row r="28" spans="1:34" ht="15" customHeight="1" x14ac:dyDescent="0.25">
      <c r="A28" s="17" t="str">
        <f>Raw_Data!A28</f>
        <v>INV-024</v>
      </c>
      <c r="B28" s="17" t="str">
        <f>Raw_Data!B28</f>
        <v>Plant Utility Upgrade – North</v>
      </c>
      <c r="C28" s="17" t="str">
        <f>Raw_Data!C28</f>
        <v>Infrastructure</v>
      </c>
      <c r="D28" s="17" t="str">
        <f>Raw_Data!D28</f>
        <v>Marketing</v>
      </c>
      <c r="E28" s="17" t="str">
        <f>Raw_Data!E28</f>
        <v>North</v>
      </c>
      <c r="F28" s="18">
        <f>Raw_Data!F28</f>
        <v>46057</v>
      </c>
      <c r="G28" s="18">
        <f>Raw_Data!G28</f>
        <v>46550</v>
      </c>
      <c r="H28" s="19">
        <f>Raw_Data!H28</f>
        <v>41780000</v>
      </c>
      <c r="I28" s="19">
        <f>Raw_Data!I28</f>
        <v>2720000</v>
      </c>
      <c r="J28" s="19">
        <f t="shared" si="0"/>
        <v>44500000</v>
      </c>
      <c r="K28" s="19">
        <f>Raw_Data!J28</f>
        <v>41960000</v>
      </c>
      <c r="L28" s="19">
        <f>Raw_Data!K28</f>
        <v>45590018.121537998</v>
      </c>
      <c r="M28" s="19">
        <f>Raw_Data!L28</f>
        <v>43886077.319524698</v>
      </c>
      <c r="N28" s="19">
        <f>Raw_Data!M28</f>
        <v>4742894.6487158602</v>
      </c>
      <c r="O28" s="19">
        <f>Raw_Data!N28</f>
        <v>3797033.7841227502</v>
      </c>
      <c r="P28" s="19">
        <f t="shared" si="1"/>
        <v>50332912.770253859</v>
      </c>
      <c r="Q28" s="19">
        <f t="shared" si="2"/>
        <v>47683111.103647448</v>
      </c>
      <c r="R28" s="19">
        <f t="shared" si="3"/>
        <v>3183111.1036474481</v>
      </c>
      <c r="S28" s="20">
        <f t="shared" si="4"/>
        <v>7.1530586598819057E-2</v>
      </c>
      <c r="T28" s="20">
        <f t="shared" si="5"/>
        <v>0.13</v>
      </c>
      <c r="U28" s="20">
        <f t="shared" si="6"/>
        <v>-5.8469413401180947E-2</v>
      </c>
      <c r="V28" s="21">
        <f t="shared" si="7"/>
        <v>4.6662223762278847</v>
      </c>
      <c r="W28" s="19">
        <f t="shared" si="8"/>
        <v>-8348698.6608120427</v>
      </c>
      <c r="X28" s="20">
        <f>IFERROR(NPV_IRR!L28,0)</f>
        <v>2.34803123112719E-2</v>
      </c>
      <c r="Y28" s="20">
        <f t="shared" si="9"/>
        <v>0.1</v>
      </c>
      <c r="Z28" s="17" t="str">
        <f>Raw_Data!O28</f>
        <v>On Hold</v>
      </c>
      <c r="AA28" s="17" t="str">
        <f>Raw_Data!P28</f>
        <v>Medium</v>
      </c>
      <c r="AB28" s="17" t="str">
        <f t="shared" si="10"/>
        <v>Watch</v>
      </c>
      <c r="AC28" s="17" t="str">
        <f t="shared" si="11"/>
        <v>Review / Restructure</v>
      </c>
      <c r="AD28" s="20">
        <f t="shared" si="12"/>
        <v>0.96262469566318709</v>
      </c>
      <c r="AE28" s="20">
        <f t="shared" si="13"/>
        <v>0.80057308149376627</v>
      </c>
      <c r="AF28" s="19">
        <f t="shared" si="14"/>
        <v>2540000</v>
      </c>
      <c r="AG28" s="22">
        <f t="shared" si="15"/>
        <v>53.470601722668221</v>
      </c>
      <c r="AH28" s="17" t="str">
        <f t="shared" si="16"/>
        <v>Significantly Below Target</v>
      </c>
    </row>
    <row r="29" spans="1:34" ht="15" customHeight="1" x14ac:dyDescent="0.25">
      <c r="A29" s="17" t="str">
        <f>Raw_Data!A29</f>
        <v>INV-025</v>
      </c>
      <c r="B29" s="17" t="str">
        <f>Raw_Data!B29</f>
        <v>ERP Cloud Migration – East</v>
      </c>
      <c r="C29" s="17" t="str">
        <f>Raw_Data!C29</f>
        <v>Technology</v>
      </c>
      <c r="D29" s="17" t="str">
        <f>Raw_Data!D29</f>
        <v>HR</v>
      </c>
      <c r="E29" s="17" t="str">
        <f>Raw_Data!E29</f>
        <v>East</v>
      </c>
      <c r="F29" s="18">
        <f>Raw_Data!F29</f>
        <v>45453</v>
      </c>
      <c r="G29" s="18">
        <f>Raw_Data!G29</f>
        <v>46011</v>
      </c>
      <c r="H29" s="19">
        <f>Raw_Data!H29</f>
        <v>20850000</v>
      </c>
      <c r="I29" s="19">
        <f>Raw_Data!I29</f>
        <v>2800000</v>
      </c>
      <c r="J29" s="19">
        <f t="shared" si="0"/>
        <v>23650000</v>
      </c>
      <c r="K29" s="19">
        <f>Raw_Data!J29</f>
        <v>25460000</v>
      </c>
      <c r="L29" s="19">
        <f>Raw_Data!K29</f>
        <v>26387441.1463723</v>
      </c>
      <c r="M29" s="19">
        <f>Raw_Data!L29</f>
        <v>27377066.594699401</v>
      </c>
      <c r="N29" s="19">
        <f>Raw_Data!M29</f>
        <v>1948575.31104751</v>
      </c>
      <c r="O29" s="19">
        <f>Raw_Data!N29</f>
        <v>2078688.9914524001</v>
      </c>
      <c r="P29" s="19">
        <f t="shared" si="1"/>
        <v>28336016.457419809</v>
      </c>
      <c r="Q29" s="19">
        <f t="shared" si="2"/>
        <v>29455755.586151801</v>
      </c>
      <c r="R29" s="19">
        <f t="shared" si="3"/>
        <v>5805755.586151801</v>
      </c>
      <c r="S29" s="20">
        <f t="shared" si="4"/>
        <v>0.24548649412904022</v>
      </c>
      <c r="T29" s="20">
        <f t="shared" si="5"/>
        <v>0.2</v>
      </c>
      <c r="U29" s="20">
        <f t="shared" si="6"/>
        <v>4.5486494129040211E-2</v>
      </c>
      <c r="V29" s="21">
        <f t="shared" si="7"/>
        <v>4.0144955594211114</v>
      </c>
      <c r="W29" s="19">
        <f t="shared" si="8"/>
        <v>-1317902.2882173583</v>
      </c>
      <c r="X29" s="20">
        <f>IFERROR(NPV_IRR!L29,0)</f>
        <v>7.7938748360283583E-2</v>
      </c>
      <c r="Y29" s="20">
        <f t="shared" si="9"/>
        <v>0.1</v>
      </c>
      <c r="Z29" s="17" t="str">
        <f>Raw_Data!O29</f>
        <v>Active</v>
      </c>
      <c r="AA29" s="17" t="str">
        <f>Raw_Data!P29</f>
        <v>Low</v>
      </c>
      <c r="AB29" s="17" t="str">
        <f t="shared" si="10"/>
        <v>Watch</v>
      </c>
      <c r="AC29" s="17" t="str">
        <f t="shared" si="11"/>
        <v>Review / Restructure</v>
      </c>
      <c r="AD29" s="20">
        <f t="shared" si="12"/>
        <v>1.0375036534553543</v>
      </c>
      <c r="AE29" s="20">
        <f t="shared" si="13"/>
        <v>1.0667737498608376</v>
      </c>
      <c r="AF29" s="19">
        <f t="shared" si="14"/>
        <v>-1810000</v>
      </c>
      <c r="AG29" s="22">
        <f t="shared" si="15"/>
        <v>65.885654115836132</v>
      </c>
      <c r="AH29" s="17" t="str">
        <f t="shared" si="16"/>
        <v>Above Target</v>
      </c>
    </row>
    <row r="30" spans="1:34" ht="15" customHeight="1" x14ac:dyDescent="0.25">
      <c r="A30" s="17" t="str">
        <f>Raw_Data!A30</f>
        <v>INV-026</v>
      </c>
      <c r="B30" s="17" t="str">
        <f>Raw_Data!B30</f>
        <v>Brand Repositioning – Central</v>
      </c>
      <c r="C30" s="17" t="str">
        <f>Raw_Data!C30</f>
        <v>Marketing</v>
      </c>
      <c r="D30" s="17" t="str">
        <f>Raw_Data!D30</f>
        <v>Supply Chain</v>
      </c>
      <c r="E30" s="17" t="str">
        <f>Raw_Data!E30</f>
        <v>Central</v>
      </c>
      <c r="F30" s="18">
        <f>Raw_Data!F30</f>
        <v>45655</v>
      </c>
      <c r="G30" s="18">
        <f>Raw_Data!G30</f>
        <v>45901</v>
      </c>
      <c r="H30" s="19">
        <f>Raw_Data!H30</f>
        <v>17120000</v>
      </c>
      <c r="I30" s="19">
        <f>Raw_Data!I30</f>
        <v>2560000</v>
      </c>
      <c r="J30" s="19">
        <f t="shared" si="0"/>
        <v>19680000</v>
      </c>
      <c r="K30" s="19">
        <f>Raw_Data!J30</f>
        <v>18500000</v>
      </c>
      <c r="L30" s="19">
        <f>Raw_Data!K30</f>
        <v>19416320.8467917</v>
      </c>
      <c r="M30" s="19">
        <f>Raw_Data!L30</f>
        <v>19924503.379784901</v>
      </c>
      <c r="N30" s="19">
        <f>Raw_Data!M30</f>
        <v>3363776.60318133</v>
      </c>
      <c r="O30" s="19">
        <f>Raw_Data!N30</f>
        <v>3549057.4959581899</v>
      </c>
      <c r="P30" s="19">
        <f t="shared" si="1"/>
        <v>22780097.449973028</v>
      </c>
      <c r="Q30" s="19">
        <f t="shared" si="2"/>
        <v>23473560.875743091</v>
      </c>
      <c r="R30" s="19">
        <f t="shared" si="3"/>
        <v>3793560.8757430911</v>
      </c>
      <c r="S30" s="20">
        <f t="shared" si="4"/>
        <v>0.19276223962109204</v>
      </c>
      <c r="T30" s="20">
        <f t="shared" si="5"/>
        <v>0.22</v>
      </c>
      <c r="U30" s="20">
        <f t="shared" si="6"/>
        <v>-2.723776037890796E-2</v>
      </c>
      <c r="V30" s="21">
        <f t="shared" si="7"/>
        <v>4.1919502763504344</v>
      </c>
      <c r="W30" s="19">
        <f t="shared" si="8"/>
        <v>-2756613.2741649076</v>
      </c>
      <c r="X30" s="20">
        <f>IFERROR(NPV_IRR!L30,0)</f>
        <v>6.1788261218792551E-2</v>
      </c>
      <c r="Y30" s="20">
        <f t="shared" si="9"/>
        <v>0.12</v>
      </c>
      <c r="Z30" s="17" t="str">
        <f>Raw_Data!O30</f>
        <v>Completed</v>
      </c>
      <c r="AA30" s="17" t="str">
        <f>Raw_Data!P30</f>
        <v>High</v>
      </c>
      <c r="AB30" s="17" t="str">
        <f t="shared" si="10"/>
        <v>Watch</v>
      </c>
      <c r="AC30" s="17" t="str">
        <f t="shared" si="11"/>
        <v>Review / Restructure</v>
      </c>
      <c r="AD30" s="20">
        <f t="shared" si="12"/>
        <v>1.0261729571221612</v>
      </c>
      <c r="AE30" s="20">
        <f t="shared" si="13"/>
        <v>1.0550812121713518</v>
      </c>
      <c r="AF30" s="19">
        <f t="shared" si="14"/>
        <v>1180000</v>
      </c>
      <c r="AG30" s="22">
        <f t="shared" si="15"/>
        <v>56.165059758124059</v>
      </c>
      <c r="AH30" s="17" t="str">
        <f t="shared" si="16"/>
        <v>Below Target</v>
      </c>
    </row>
    <row r="31" spans="1:34" ht="15" customHeight="1" x14ac:dyDescent="0.25">
      <c r="A31" s="17" t="str">
        <f>Raw_Data!A31</f>
        <v>INV-027</v>
      </c>
      <c r="B31" s="17" t="str">
        <f>Raw_Data!B31</f>
        <v>Premium Product Line – South</v>
      </c>
      <c r="C31" s="17" t="str">
        <f>Raw_Data!C31</f>
        <v>Product Development</v>
      </c>
      <c r="D31" s="17" t="str">
        <f>Raw_Data!D31</f>
        <v>Operations</v>
      </c>
      <c r="E31" s="17" t="str">
        <f>Raw_Data!E31</f>
        <v>South</v>
      </c>
      <c r="F31" s="18">
        <f>Raw_Data!F31</f>
        <v>45551</v>
      </c>
      <c r="G31" s="18">
        <f>Raw_Data!G31</f>
        <v>45731</v>
      </c>
      <c r="H31" s="19">
        <f>Raw_Data!H31</f>
        <v>19930000</v>
      </c>
      <c r="I31" s="19">
        <f>Raw_Data!I31</f>
        <v>1250000</v>
      </c>
      <c r="J31" s="19">
        <f t="shared" si="0"/>
        <v>21180000</v>
      </c>
      <c r="K31" s="19">
        <f>Raw_Data!J31</f>
        <v>21990000</v>
      </c>
      <c r="L31" s="19">
        <f>Raw_Data!K31</f>
        <v>22771408.474874601</v>
      </c>
      <c r="M31" s="19">
        <f>Raw_Data!L31</f>
        <v>20392969.374594901</v>
      </c>
      <c r="N31" s="19">
        <f>Raw_Data!M31</f>
        <v>3754469.2357978402</v>
      </c>
      <c r="O31" s="19">
        <f>Raw_Data!N31</f>
        <v>4019429.4533263701</v>
      </c>
      <c r="P31" s="19">
        <f t="shared" si="1"/>
        <v>26525877.710672442</v>
      </c>
      <c r="Q31" s="19">
        <f t="shared" si="2"/>
        <v>24412398.827921271</v>
      </c>
      <c r="R31" s="19">
        <f t="shared" si="3"/>
        <v>3232398.8279212713</v>
      </c>
      <c r="S31" s="20">
        <f t="shared" si="4"/>
        <v>0.15261561982631119</v>
      </c>
      <c r="T31" s="20">
        <f t="shared" si="5"/>
        <v>0.24</v>
      </c>
      <c r="U31" s="20">
        <f t="shared" si="6"/>
        <v>-8.7384380173688797E-2</v>
      </c>
      <c r="V31" s="21">
        <f t="shared" si="7"/>
        <v>4.3379596059555867</v>
      </c>
      <c r="W31" s="19">
        <f t="shared" si="8"/>
        <v>-2671560.3027187511</v>
      </c>
      <c r="X31" s="20">
        <f>IFERROR(NPV_IRR!L31,0)</f>
        <v>4.929229425613002E-2</v>
      </c>
      <c r="Y31" s="20">
        <f t="shared" si="9"/>
        <v>0.1</v>
      </c>
      <c r="Z31" s="17" t="str">
        <f>Raw_Data!O31</f>
        <v>Cancelled</v>
      </c>
      <c r="AA31" s="17" t="str">
        <f>Raw_Data!P31</f>
        <v>Medium</v>
      </c>
      <c r="AB31" s="17" t="str">
        <f t="shared" si="10"/>
        <v>Watch</v>
      </c>
      <c r="AC31" s="17" t="str">
        <f t="shared" si="11"/>
        <v>Review / Restructure</v>
      </c>
      <c r="AD31" s="20">
        <f t="shared" si="12"/>
        <v>0.89555151571304825</v>
      </c>
      <c r="AE31" s="20">
        <f t="shared" si="13"/>
        <v>1.0705719506241274</v>
      </c>
      <c r="AF31" s="19">
        <f t="shared" si="14"/>
        <v>-810000</v>
      </c>
      <c r="AG31" s="22">
        <f t="shared" si="15"/>
        <v>53.315369847436457</v>
      </c>
      <c r="AH31" s="17" t="str">
        <f t="shared" si="16"/>
        <v>Significantly Below Target</v>
      </c>
    </row>
    <row r="32" spans="1:34" ht="15" customHeight="1" x14ac:dyDescent="0.25">
      <c r="A32" s="17" t="str">
        <f>Raw_Data!A32</f>
        <v>INV-028</v>
      </c>
      <c r="B32" s="17" t="str">
        <f>Raw_Data!B32</f>
        <v>Tier-2 City Expansion – West</v>
      </c>
      <c r="C32" s="17" t="str">
        <f>Raw_Data!C32</f>
        <v>Expansion</v>
      </c>
      <c r="D32" s="17" t="str">
        <f>Raw_Data!D32</f>
        <v>Finance</v>
      </c>
      <c r="E32" s="17" t="str">
        <f>Raw_Data!E32</f>
        <v>West</v>
      </c>
      <c r="F32" s="18">
        <f>Raw_Data!F32</f>
        <v>45947</v>
      </c>
      <c r="G32" s="18">
        <f>Raw_Data!G32</f>
        <v>46286</v>
      </c>
      <c r="H32" s="19">
        <f>Raw_Data!H32</f>
        <v>43160000</v>
      </c>
      <c r="I32" s="19">
        <f>Raw_Data!I32</f>
        <v>5760000</v>
      </c>
      <c r="J32" s="19">
        <f t="shared" si="0"/>
        <v>48920000</v>
      </c>
      <c r="K32" s="19">
        <f>Raw_Data!J32</f>
        <v>49490000</v>
      </c>
      <c r="L32" s="19">
        <f>Raw_Data!K32</f>
        <v>52583471.831497297</v>
      </c>
      <c r="M32" s="19">
        <f>Raw_Data!L32</f>
        <v>48212796.500393704</v>
      </c>
      <c r="N32" s="19">
        <f>Raw_Data!M32</f>
        <v>5463415.4394290298</v>
      </c>
      <c r="O32" s="19">
        <f>Raw_Data!N32</f>
        <v>4978104.2459024303</v>
      </c>
      <c r="P32" s="19">
        <f t="shared" si="1"/>
        <v>58046887.270926327</v>
      </c>
      <c r="Q32" s="19">
        <f t="shared" si="2"/>
        <v>53190900.746296138</v>
      </c>
      <c r="R32" s="19">
        <f t="shared" si="3"/>
        <v>4270900.7462961376</v>
      </c>
      <c r="S32" s="20">
        <f t="shared" si="4"/>
        <v>8.7303776498285718E-2</v>
      </c>
      <c r="T32" s="20">
        <f t="shared" si="5"/>
        <v>0.18</v>
      </c>
      <c r="U32" s="20">
        <f t="shared" si="6"/>
        <v>-9.2696223501714275E-2</v>
      </c>
      <c r="V32" s="21">
        <f t="shared" si="7"/>
        <v>4.5985308872031521</v>
      </c>
      <c r="W32" s="19">
        <f t="shared" si="8"/>
        <v>-7541189.1426706985</v>
      </c>
      <c r="X32" s="20">
        <f>IFERROR(NPV_IRR!L32,0)</f>
        <v>2.8565091327503955E-2</v>
      </c>
      <c r="Y32" s="20">
        <f t="shared" si="9"/>
        <v>0.09</v>
      </c>
      <c r="Z32" s="17" t="str">
        <f>Raw_Data!O32</f>
        <v>On Hold</v>
      </c>
      <c r="AA32" s="17" t="str">
        <f>Raw_Data!P32</f>
        <v>Low</v>
      </c>
      <c r="AB32" s="17" t="str">
        <f t="shared" si="10"/>
        <v>Watch</v>
      </c>
      <c r="AC32" s="17" t="str">
        <f t="shared" si="11"/>
        <v>Review / Restructure</v>
      </c>
      <c r="AD32" s="20">
        <f t="shared" si="12"/>
        <v>0.91688119519552957</v>
      </c>
      <c r="AE32" s="20">
        <f t="shared" si="13"/>
        <v>0.91117073213503996</v>
      </c>
      <c r="AF32" s="19">
        <f t="shared" si="14"/>
        <v>-570000</v>
      </c>
      <c r="AG32" s="22">
        <f t="shared" si="15"/>
        <v>53.489563872214276</v>
      </c>
      <c r="AH32" s="17" t="str">
        <f t="shared" si="16"/>
        <v>Significantly Below Target</v>
      </c>
    </row>
    <row r="33" spans="1:34" ht="15" customHeight="1" x14ac:dyDescent="0.25">
      <c r="A33" s="17" t="str">
        <f>Raw_Data!A33</f>
        <v>INV-029</v>
      </c>
      <c r="B33" s="17" t="str">
        <f>Raw_Data!B33</f>
        <v>Automated Packaging Line – North</v>
      </c>
      <c r="C33" s="17" t="str">
        <f>Raw_Data!C33</f>
        <v>Equipment</v>
      </c>
      <c r="D33" s="17" t="str">
        <f>Raw_Data!D33</f>
        <v>Sales</v>
      </c>
      <c r="E33" s="17" t="str">
        <f>Raw_Data!E33</f>
        <v>North</v>
      </c>
      <c r="F33" s="18">
        <f>Raw_Data!F33</f>
        <v>45427</v>
      </c>
      <c r="G33" s="18">
        <f>Raw_Data!G33</f>
        <v>46007</v>
      </c>
      <c r="H33" s="19">
        <f>Raw_Data!H33</f>
        <v>22850000</v>
      </c>
      <c r="I33" s="19">
        <f>Raw_Data!I33</f>
        <v>3690000</v>
      </c>
      <c r="J33" s="19">
        <f t="shared" si="0"/>
        <v>26540000</v>
      </c>
      <c r="K33" s="19">
        <f>Raw_Data!J33</f>
        <v>29130000</v>
      </c>
      <c r="L33" s="19">
        <f>Raw_Data!K33</f>
        <v>25848999.6125382</v>
      </c>
      <c r="M33" s="19">
        <f>Raw_Data!L33</f>
        <v>23410761.3183139</v>
      </c>
      <c r="N33" s="19">
        <f>Raw_Data!M33</f>
        <v>4699165.1366537297</v>
      </c>
      <c r="O33" s="19">
        <f>Raw_Data!N33</f>
        <v>4882840.7856707098</v>
      </c>
      <c r="P33" s="19">
        <f t="shared" si="1"/>
        <v>30548164.749191929</v>
      </c>
      <c r="Q33" s="19">
        <f t="shared" si="2"/>
        <v>28293602.103984609</v>
      </c>
      <c r="R33" s="19">
        <f t="shared" si="3"/>
        <v>1753602.1039846092</v>
      </c>
      <c r="S33" s="20">
        <f t="shared" si="4"/>
        <v>6.6073930067242242E-2</v>
      </c>
      <c r="T33" s="20">
        <f t="shared" si="5"/>
        <v>0.17</v>
      </c>
      <c r="U33" s="20">
        <f t="shared" si="6"/>
        <v>-0.10392606993275777</v>
      </c>
      <c r="V33" s="21">
        <f t="shared" si="7"/>
        <v>4.6901062477764812</v>
      </c>
      <c r="W33" s="19">
        <f t="shared" si="8"/>
        <v>-6141579.2913875543</v>
      </c>
      <c r="X33" s="20">
        <f>IFERROR(NPV_IRR!L33,0)</f>
        <v>2.1713745008778984E-2</v>
      </c>
      <c r="Y33" s="20">
        <f t="shared" si="9"/>
        <v>0.12</v>
      </c>
      <c r="Z33" s="17" t="str">
        <f>Raw_Data!O33</f>
        <v>Active</v>
      </c>
      <c r="AA33" s="17" t="str">
        <f>Raw_Data!P33</f>
        <v>High</v>
      </c>
      <c r="AB33" s="17" t="str">
        <f t="shared" si="10"/>
        <v>Underperforming</v>
      </c>
      <c r="AC33" s="17" t="str">
        <f t="shared" si="11"/>
        <v>Review / Restructure</v>
      </c>
      <c r="AD33" s="20">
        <f t="shared" si="12"/>
        <v>0.90567378502951357</v>
      </c>
      <c r="AE33" s="20">
        <f t="shared" si="13"/>
        <v>1.0390868683426979</v>
      </c>
      <c r="AF33" s="19">
        <f t="shared" si="14"/>
        <v>-2590000</v>
      </c>
      <c r="AG33" s="22">
        <f t="shared" si="15"/>
        <v>50.754943750926238</v>
      </c>
      <c r="AH33" s="17" t="str">
        <f t="shared" si="16"/>
        <v>Significantly Below Target</v>
      </c>
    </row>
    <row r="34" spans="1:34" ht="15" customHeight="1" x14ac:dyDescent="0.25">
      <c r="A34" s="17" t="str">
        <f>Raw_Data!A34</f>
        <v>INV-030</v>
      </c>
      <c r="B34" s="17" t="str">
        <f>Raw_Data!B34</f>
        <v>RPA Finance Rollout – East</v>
      </c>
      <c r="C34" s="17" t="str">
        <f>Raw_Data!C34</f>
        <v>Automation</v>
      </c>
      <c r="D34" s="17" t="str">
        <f>Raw_Data!D34</f>
        <v>IT</v>
      </c>
      <c r="E34" s="17" t="str">
        <f>Raw_Data!E34</f>
        <v>East</v>
      </c>
      <c r="F34" s="18">
        <f>Raw_Data!F34</f>
        <v>45438</v>
      </c>
      <c r="G34" s="18">
        <f>Raw_Data!G34</f>
        <v>45902</v>
      </c>
      <c r="H34" s="19">
        <f>Raw_Data!H34</f>
        <v>24870000</v>
      </c>
      <c r="I34" s="19">
        <f>Raw_Data!I34</f>
        <v>360000</v>
      </c>
      <c r="J34" s="19">
        <f t="shared" si="0"/>
        <v>25230000</v>
      </c>
      <c r="K34" s="19">
        <f>Raw_Data!J34</f>
        <v>24620000</v>
      </c>
      <c r="L34" s="19">
        <f>Raw_Data!K34</f>
        <v>28066068.279020701</v>
      </c>
      <c r="M34" s="19">
        <f>Raw_Data!L34</f>
        <v>31470841.580309499</v>
      </c>
      <c r="N34" s="19">
        <f>Raw_Data!M34</f>
        <v>3805130.5248047002</v>
      </c>
      <c r="O34" s="19">
        <f>Raw_Data!N34</f>
        <v>3531946.0396255399</v>
      </c>
      <c r="P34" s="19">
        <f t="shared" si="1"/>
        <v>31871198.803825401</v>
      </c>
      <c r="Q34" s="19">
        <f t="shared" si="2"/>
        <v>35002787.619935036</v>
      </c>
      <c r="R34" s="19">
        <f t="shared" si="3"/>
        <v>9772787.6199350357</v>
      </c>
      <c r="S34" s="20">
        <f t="shared" si="4"/>
        <v>0.38734790407986663</v>
      </c>
      <c r="T34" s="20">
        <f t="shared" si="5"/>
        <v>0.25</v>
      </c>
      <c r="U34" s="20">
        <f t="shared" si="6"/>
        <v>0.13734790407986663</v>
      </c>
      <c r="V34" s="21">
        <f t="shared" si="7"/>
        <v>3.6039986691846839</v>
      </c>
      <c r="W34" s="19">
        <f t="shared" si="8"/>
        <v>1307620.8404127061</v>
      </c>
      <c r="X34" s="20">
        <f>IFERROR(NPV_IRR!L34,0)</f>
        <v>0.12008708328598572</v>
      </c>
      <c r="Y34" s="20">
        <f t="shared" si="9"/>
        <v>0.1</v>
      </c>
      <c r="Z34" s="17" t="str">
        <f>Raw_Data!O34</f>
        <v>Completed</v>
      </c>
      <c r="AA34" s="17" t="str">
        <f>Raw_Data!P34</f>
        <v>Medium</v>
      </c>
      <c r="AB34" s="17" t="str">
        <f t="shared" si="10"/>
        <v>Good</v>
      </c>
      <c r="AC34" s="17" t="str">
        <f t="shared" si="11"/>
        <v>Increase / Scale</v>
      </c>
      <c r="AD34" s="20">
        <f t="shared" si="12"/>
        <v>1.1213127990511538</v>
      </c>
      <c r="AE34" s="20">
        <f t="shared" si="13"/>
        <v>0.92820627744611162</v>
      </c>
      <c r="AF34" s="19">
        <f t="shared" si="14"/>
        <v>610000</v>
      </c>
      <c r="AG34" s="22">
        <f t="shared" si="15"/>
        <v>71.480531388837989</v>
      </c>
      <c r="AH34" s="17" t="str">
        <f t="shared" si="16"/>
        <v>Significantly Above Target</v>
      </c>
    </row>
    <row r="35" spans="1:34" ht="15" customHeight="1" x14ac:dyDescent="0.25">
      <c r="A35" s="17" t="str">
        <f>Raw_Data!A35</f>
        <v>INV-031</v>
      </c>
      <c r="B35" s="17" t="str">
        <f>Raw_Data!B35</f>
        <v>Leadership Development – Central</v>
      </c>
      <c r="C35" s="17" t="str">
        <f>Raw_Data!C35</f>
        <v>Training</v>
      </c>
      <c r="D35" s="17" t="str">
        <f>Raw_Data!D35</f>
        <v>Product</v>
      </c>
      <c r="E35" s="17" t="str">
        <f>Raw_Data!E35</f>
        <v>Central</v>
      </c>
      <c r="F35" s="18">
        <f>Raw_Data!F35</f>
        <v>46010</v>
      </c>
      <c r="G35" s="18">
        <f>Raw_Data!G35</f>
        <v>46566</v>
      </c>
      <c r="H35" s="19">
        <f>Raw_Data!H35</f>
        <v>9840000</v>
      </c>
      <c r="I35" s="19">
        <f>Raw_Data!I35</f>
        <v>1090000</v>
      </c>
      <c r="J35" s="19">
        <f t="shared" si="0"/>
        <v>10930000</v>
      </c>
      <c r="K35" s="19">
        <f>Raw_Data!J35</f>
        <v>10180000</v>
      </c>
      <c r="L35" s="19">
        <f>Raw_Data!K35</f>
        <v>11596053.316702699</v>
      </c>
      <c r="M35" s="19">
        <f>Raw_Data!L35</f>
        <v>10442772.782189099</v>
      </c>
      <c r="N35" s="19">
        <f>Raw_Data!M35</f>
        <v>1456221.18494314</v>
      </c>
      <c r="O35" s="19">
        <f>Raw_Data!N35</f>
        <v>1663932.35726319</v>
      </c>
      <c r="P35" s="19">
        <f t="shared" si="1"/>
        <v>13052274.501645839</v>
      </c>
      <c r="Q35" s="19">
        <f t="shared" si="2"/>
        <v>12106705.13945229</v>
      </c>
      <c r="R35" s="19">
        <f t="shared" si="3"/>
        <v>1176705.1394522898</v>
      </c>
      <c r="S35" s="20">
        <f t="shared" si="4"/>
        <v>0.10765829272207592</v>
      </c>
      <c r="T35" s="20">
        <f t="shared" si="5"/>
        <v>0.15</v>
      </c>
      <c r="U35" s="20">
        <f t="shared" si="6"/>
        <v>-4.2341707277924079E-2</v>
      </c>
      <c r="V35" s="21">
        <f t="shared" si="7"/>
        <v>4.514027505461522</v>
      </c>
      <c r="W35" s="19">
        <f t="shared" si="8"/>
        <v>-1751212.4672470037</v>
      </c>
      <c r="X35" s="20">
        <f>IFERROR(NPV_IRR!L35,0)</f>
        <v>3.5080162944059579E-2</v>
      </c>
      <c r="Y35" s="20">
        <f t="shared" si="9"/>
        <v>0.1</v>
      </c>
      <c r="Z35" s="17" t="str">
        <f>Raw_Data!O35</f>
        <v>Cancelled</v>
      </c>
      <c r="AA35" s="17" t="str">
        <f>Raw_Data!P35</f>
        <v>Low</v>
      </c>
      <c r="AB35" s="17" t="str">
        <f t="shared" si="10"/>
        <v>Watch</v>
      </c>
      <c r="AC35" s="17" t="str">
        <f t="shared" si="11"/>
        <v>Review / Restructure</v>
      </c>
      <c r="AD35" s="20">
        <f t="shared" si="12"/>
        <v>0.90054542670544291</v>
      </c>
      <c r="AE35" s="20">
        <f t="shared" si="13"/>
        <v>1.142637103805189</v>
      </c>
      <c r="AF35" s="19">
        <f t="shared" si="14"/>
        <v>750000</v>
      </c>
      <c r="AG35" s="22">
        <f t="shared" si="15"/>
        <v>55.363893546970644</v>
      </c>
      <c r="AH35" s="17" t="str">
        <f t="shared" si="16"/>
        <v>Below Target</v>
      </c>
    </row>
    <row r="36" spans="1:34" ht="15" customHeight="1" x14ac:dyDescent="0.25">
      <c r="A36" s="17" t="str">
        <f>Raw_Data!A36</f>
        <v>INV-032</v>
      </c>
      <c r="B36" s="17" t="str">
        <f>Raw_Data!B36</f>
        <v>Plant Utility Upgrade – South</v>
      </c>
      <c r="C36" s="17" t="str">
        <f>Raw_Data!C36</f>
        <v>Infrastructure</v>
      </c>
      <c r="D36" s="17" t="str">
        <f>Raw_Data!D36</f>
        <v>Marketing</v>
      </c>
      <c r="E36" s="17" t="str">
        <f>Raw_Data!E36</f>
        <v>South</v>
      </c>
      <c r="F36" s="18">
        <f>Raw_Data!F36</f>
        <v>45447</v>
      </c>
      <c r="G36" s="18">
        <f>Raw_Data!G36</f>
        <v>46180</v>
      </c>
      <c r="H36" s="19">
        <f>Raw_Data!H36</f>
        <v>18820000</v>
      </c>
      <c r="I36" s="19">
        <f>Raw_Data!I36</f>
        <v>1030000</v>
      </c>
      <c r="J36" s="19">
        <f t="shared" si="0"/>
        <v>19850000</v>
      </c>
      <c r="K36" s="19">
        <f>Raw_Data!J36</f>
        <v>21220000</v>
      </c>
      <c r="L36" s="19">
        <f>Raw_Data!K36</f>
        <v>20275713.536594398</v>
      </c>
      <c r="M36" s="19">
        <f>Raw_Data!L36</f>
        <v>18160005.800166201</v>
      </c>
      <c r="N36" s="19">
        <f>Raw_Data!M36</f>
        <v>1983636.34514288</v>
      </c>
      <c r="O36" s="19">
        <f>Raw_Data!N36</f>
        <v>1588968.9691941701</v>
      </c>
      <c r="P36" s="19">
        <f t="shared" si="1"/>
        <v>22259349.881737277</v>
      </c>
      <c r="Q36" s="19">
        <f t="shared" si="2"/>
        <v>19748974.769360371</v>
      </c>
      <c r="R36" s="19">
        <f t="shared" si="3"/>
        <v>-101025.23063962907</v>
      </c>
      <c r="S36" s="20">
        <f t="shared" si="4"/>
        <v>-5.0894322740367287E-3</v>
      </c>
      <c r="T36" s="20">
        <f t="shared" si="5"/>
        <v>0.13</v>
      </c>
      <c r="U36" s="20">
        <f t="shared" si="6"/>
        <v>-0.13508943227403675</v>
      </c>
      <c r="V36" s="21">
        <f t="shared" si="7"/>
        <v>5.0255773354868944</v>
      </c>
      <c r="W36" s="19">
        <f t="shared" si="8"/>
        <v>-5251964.6096572969</v>
      </c>
      <c r="X36" s="20">
        <f>IFERROR(NPV_IRR!L36,0)</f>
        <v>-1.6984021036440256E-3</v>
      </c>
      <c r="Y36" s="20">
        <f t="shared" si="9"/>
        <v>0.11</v>
      </c>
      <c r="Z36" s="17" t="str">
        <f>Raw_Data!O36</f>
        <v>On Hold</v>
      </c>
      <c r="AA36" s="17" t="str">
        <f>Raw_Data!P36</f>
        <v>High</v>
      </c>
      <c r="AB36" s="17" t="str">
        <f t="shared" si="10"/>
        <v>Underperforming</v>
      </c>
      <c r="AC36" s="17" t="str">
        <f t="shared" si="11"/>
        <v>Review / Restructure</v>
      </c>
      <c r="AD36" s="20">
        <f t="shared" si="12"/>
        <v>0.8956531057410293</v>
      </c>
      <c r="AE36" s="20">
        <f t="shared" si="13"/>
        <v>0.80103844290053972</v>
      </c>
      <c r="AF36" s="19">
        <f t="shared" si="14"/>
        <v>-1370000</v>
      </c>
      <c r="AG36" s="22">
        <f t="shared" si="15"/>
        <v>47.175112692151671</v>
      </c>
      <c r="AH36" s="17" t="str">
        <f t="shared" si="16"/>
        <v>Significantly Below Target</v>
      </c>
    </row>
    <row r="37" spans="1:34" ht="15" customHeight="1" x14ac:dyDescent="0.25">
      <c r="A37" s="17" t="str">
        <f>Raw_Data!A37</f>
        <v>INV-033</v>
      </c>
      <c r="B37" s="17" t="str">
        <f>Raw_Data!B37</f>
        <v>ERP Cloud Migration – West</v>
      </c>
      <c r="C37" s="17" t="str">
        <f>Raw_Data!C37</f>
        <v>Technology</v>
      </c>
      <c r="D37" s="17" t="str">
        <f>Raw_Data!D37</f>
        <v>HR</v>
      </c>
      <c r="E37" s="17" t="str">
        <f>Raw_Data!E37</f>
        <v>West</v>
      </c>
      <c r="F37" s="18">
        <f>Raw_Data!F37</f>
        <v>45766</v>
      </c>
      <c r="G37" s="18">
        <f>Raw_Data!G37</f>
        <v>46321</v>
      </c>
      <c r="H37" s="19">
        <f>Raw_Data!H37</f>
        <v>13470000</v>
      </c>
      <c r="I37" s="19">
        <f>Raw_Data!I37</f>
        <v>2340000</v>
      </c>
      <c r="J37" s="19">
        <f t="shared" ref="J37:J68" si="17">H37+I37</f>
        <v>15810000</v>
      </c>
      <c r="K37" s="19">
        <f>Raw_Data!J37</f>
        <v>15640000</v>
      </c>
      <c r="L37" s="19">
        <f>Raw_Data!K37</f>
        <v>16675160.4116299</v>
      </c>
      <c r="M37" s="19">
        <f>Raw_Data!L37</f>
        <v>17865898.113400999</v>
      </c>
      <c r="N37" s="19">
        <f>Raw_Data!M37</f>
        <v>2828919.7290386902</v>
      </c>
      <c r="O37" s="19">
        <f>Raw_Data!N37</f>
        <v>3075253.6324733002</v>
      </c>
      <c r="P37" s="19">
        <f t="shared" ref="P37:P68" si="18">L37+N37</f>
        <v>19504080.14066859</v>
      </c>
      <c r="Q37" s="19">
        <f t="shared" ref="Q37:Q68" si="19">M37+O37</f>
        <v>20941151.745874301</v>
      </c>
      <c r="R37" s="19">
        <f t="shared" ref="R37:R68" si="20">Q37-J37</f>
        <v>5131151.7458743006</v>
      </c>
      <c r="S37" s="20">
        <f t="shared" ref="S37:S68" si="21">IFERROR(R37/J37,0)</f>
        <v>0.32455102756953197</v>
      </c>
      <c r="T37" s="20">
        <f t="shared" ref="T37:T68" si="22">IF(C37="Technology",0.2,IF(C37="Marketing",0.22,IF(C37="Product Development",0.24,IF(C37="Expansion",0.18,IF(C37="Equipment",0.17,IF(C37="Automation",0.25,IF(C37="Training",0.15,0.13)))))))</f>
        <v>0.2</v>
      </c>
      <c r="U37" s="20">
        <f t="shared" ref="U37:U68" si="23">S37-T37</f>
        <v>0.12455102756953196</v>
      </c>
      <c r="V37" s="21">
        <f t="shared" ref="V37:V68" si="24">IFERROR(J37/(Q37/5),0)</f>
        <v>3.7748640074476305</v>
      </c>
      <c r="W37" s="19">
        <f t="shared" ref="W37:W68" si="25">NPV(Y37,Q37/5,Q37/5,Q37/5,Q37/5,Q37/5)-J37</f>
        <v>66688.194886980578</v>
      </c>
      <c r="X37" s="20">
        <f>IFERROR(NPV_IRR!L37,0)</f>
        <v>0.10164977247916118</v>
      </c>
      <c r="Y37" s="20">
        <f t="shared" ref="Y37:Y68" si="26">IF(D37="Finance",0.09,IF(G37-F37&gt;600,0.11,IF(AA37="High",0.12,0.1)))</f>
        <v>0.1</v>
      </c>
      <c r="Z37" s="17" t="str">
        <f>Raw_Data!O37</f>
        <v>Active</v>
      </c>
      <c r="AA37" s="17" t="str">
        <f>Raw_Data!P37</f>
        <v>Medium</v>
      </c>
      <c r="AB37" s="17" t="str">
        <f t="shared" ref="AB37:AB68" si="27">IF(AG37&gt;=82,"Excellent",IF(AG37&gt;=68,"Good",IF(AG37&gt;=52,"Watch",IF(AG37&gt;=35,"Underperforming","Critical"))))</f>
        <v>Good</v>
      </c>
      <c r="AC37" s="17" t="str">
        <f t="shared" ref="AC37:AC68" si="28">IF(AND(AG37&gt;=68,W37&gt;0,AA37&lt;&gt;"High"),"Increase / Scale",IF(OR(AG37&lt;35,W37&lt;0),"Review / Restructure",IF(AND(AA37="High",U37&gt;0),"Monitor Closely","Continue")))</f>
        <v>Increase / Scale</v>
      </c>
      <c r="AD37" s="20">
        <f t="shared" ref="AD37:AD68" si="29">IFERROR(M37/L37,0)</f>
        <v>1.0714078708916426</v>
      </c>
      <c r="AE37" s="20">
        <f t="shared" ref="AE37:AE68" si="30">IFERROR(O37/N37,0)</f>
        <v>1.0870770212763576</v>
      </c>
      <c r="AF37" s="19">
        <f t="shared" ref="AF37:AF68" si="31">J37-K37</f>
        <v>170000</v>
      </c>
      <c r="AG37" s="22">
        <f t="shared" ref="AG37:AG68" si="32">MAX(0,MIN(100,(MIN(100,MAX(0,50+U37*250))*22%)+(MIN(100,MAX(0,50+(W37/J37)*100))*18%)+(MIN(100,MAX(0,50+(X37-T37)*180))*15%)+(MIN(100,MAX(0,100-V37*12))*10%)+(MIN(100,MAX(0,100-MAX(0,AF37/K37)*250))*12%)+(MIN(100,MAX(0,AD37*100))*12%)+(MIN(100,MAX(0,AE37*100))*6%)+(IF(AA37="Low",100,IF(AA37="Medium",90,78))*5%)))</f>
        <v>71.414852446383719</v>
      </c>
      <c r="AH37" s="17" t="str">
        <f t="shared" ref="AH37:AH68" si="33">IF(U37&gt;=5%,"Significantly Above Target",IF(U37&gt;=1.5%,"Above Target",IF(U37&gt;=-1.5%,"On Target",IF(U37&gt;=-5%,"Below Target","Significantly Below Target"))))</f>
        <v>Significantly Above Target</v>
      </c>
    </row>
    <row r="38" spans="1:34" ht="15" customHeight="1" x14ac:dyDescent="0.25">
      <c r="A38" s="17" t="str">
        <f>Raw_Data!A38</f>
        <v>INV-034</v>
      </c>
      <c r="B38" s="17" t="str">
        <f>Raw_Data!B38</f>
        <v>Brand Repositioning – North</v>
      </c>
      <c r="C38" s="17" t="str">
        <f>Raw_Data!C38</f>
        <v>Marketing</v>
      </c>
      <c r="D38" s="17" t="str">
        <f>Raw_Data!D38</f>
        <v>Supply Chain</v>
      </c>
      <c r="E38" s="17" t="str">
        <f>Raw_Data!E38</f>
        <v>North</v>
      </c>
      <c r="F38" s="18">
        <f>Raw_Data!F38</f>
        <v>45794</v>
      </c>
      <c r="G38" s="18">
        <f>Raw_Data!G38</f>
        <v>46665</v>
      </c>
      <c r="H38" s="19">
        <f>Raw_Data!H38</f>
        <v>19940000</v>
      </c>
      <c r="I38" s="19">
        <f>Raw_Data!I38</f>
        <v>590000</v>
      </c>
      <c r="J38" s="19">
        <f t="shared" si="17"/>
        <v>20530000</v>
      </c>
      <c r="K38" s="19">
        <f>Raw_Data!J38</f>
        <v>20700000</v>
      </c>
      <c r="L38" s="19">
        <f>Raw_Data!K38</f>
        <v>21028647.862571299</v>
      </c>
      <c r="M38" s="19">
        <f>Raw_Data!L38</f>
        <v>20197456.4738901</v>
      </c>
      <c r="N38" s="19">
        <f>Raw_Data!M38</f>
        <v>4465981.32461055</v>
      </c>
      <c r="O38" s="19">
        <f>Raw_Data!N38</f>
        <v>4195072.2557568504</v>
      </c>
      <c r="P38" s="19">
        <f t="shared" si="18"/>
        <v>25494629.187181849</v>
      </c>
      <c r="Q38" s="19">
        <f t="shared" si="19"/>
        <v>24392528.729646951</v>
      </c>
      <c r="R38" s="19">
        <f t="shared" si="20"/>
        <v>3862528.729646951</v>
      </c>
      <c r="S38" s="20">
        <f t="shared" si="21"/>
        <v>0.18814070772756702</v>
      </c>
      <c r="T38" s="20">
        <f t="shared" si="22"/>
        <v>0.22</v>
      </c>
      <c r="U38" s="20">
        <f t="shared" si="23"/>
        <v>-3.1859292272432976E-2</v>
      </c>
      <c r="V38" s="21">
        <f t="shared" si="24"/>
        <v>4.2082557793705924</v>
      </c>
      <c r="W38" s="19">
        <f t="shared" si="25"/>
        <v>-2499545.1630337909</v>
      </c>
      <c r="X38" s="20">
        <f>IFERROR(NPV_IRR!L38,0)</f>
        <v>6.0358762576186553E-2</v>
      </c>
      <c r="Y38" s="20">
        <f t="shared" si="26"/>
        <v>0.11</v>
      </c>
      <c r="Z38" s="17" t="str">
        <f>Raw_Data!O38</f>
        <v>Completed</v>
      </c>
      <c r="AA38" s="17" t="str">
        <f>Raw_Data!P38</f>
        <v>Low</v>
      </c>
      <c r="AB38" s="17" t="str">
        <f t="shared" si="27"/>
        <v>Watch</v>
      </c>
      <c r="AC38" s="17" t="str">
        <f t="shared" si="28"/>
        <v>Review / Restructure</v>
      </c>
      <c r="AD38" s="20">
        <f t="shared" si="29"/>
        <v>0.96047337926274234</v>
      </c>
      <c r="AE38" s="20">
        <f t="shared" si="30"/>
        <v>0.93933940848323549</v>
      </c>
      <c r="AF38" s="19">
        <f t="shared" si="31"/>
        <v>-170000</v>
      </c>
      <c r="AG38" s="22">
        <f t="shared" si="32"/>
        <v>58.357720095038495</v>
      </c>
      <c r="AH38" s="17" t="str">
        <f t="shared" si="33"/>
        <v>Below Target</v>
      </c>
    </row>
    <row r="39" spans="1:34" ht="15" customHeight="1" x14ac:dyDescent="0.25">
      <c r="A39" s="17" t="str">
        <f>Raw_Data!A39</f>
        <v>INV-035</v>
      </c>
      <c r="B39" s="17" t="str">
        <f>Raw_Data!B39</f>
        <v>Premium Product Line – East</v>
      </c>
      <c r="C39" s="17" t="str">
        <f>Raw_Data!C39</f>
        <v>Product Development</v>
      </c>
      <c r="D39" s="17" t="str">
        <f>Raw_Data!D39</f>
        <v>Operations</v>
      </c>
      <c r="E39" s="17" t="str">
        <f>Raw_Data!E39</f>
        <v>East</v>
      </c>
      <c r="F39" s="18">
        <f>Raw_Data!F39</f>
        <v>46000</v>
      </c>
      <c r="G39" s="18">
        <f>Raw_Data!G39</f>
        <v>46746</v>
      </c>
      <c r="H39" s="19">
        <f>Raw_Data!H39</f>
        <v>17950000</v>
      </c>
      <c r="I39" s="19">
        <f>Raw_Data!I39</f>
        <v>780000</v>
      </c>
      <c r="J39" s="19">
        <f t="shared" si="17"/>
        <v>18730000</v>
      </c>
      <c r="K39" s="19">
        <f>Raw_Data!J39</f>
        <v>19710000</v>
      </c>
      <c r="L39" s="19">
        <f>Raw_Data!K39</f>
        <v>20663005.927824002</v>
      </c>
      <c r="M39" s="19">
        <f>Raw_Data!L39</f>
        <v>17635870.695671599</v>
      </c>
      <c r="N39" s="19">
        <f>Raw_Data!M39</f>
        <v>1882031.7587190301</v>
      </c>
      <c r="O39" s="19">
        <f>Raw_Data!N39</f>
        <v>1786393.55990434</v>
      </c>
      <c r="P39" s="19">
        <f t="shared" si="18"/>
        <v>22545037.686543033</v>
      </c>
      <c r="Q39" s="19">
        <f t="shared" si="19"/>
        <v>19422264.25557594</v>
      </c>
      <c r="R39" s="19">
        <f t="shared" si="20"/>
        <v>692264.25557594001</v>
      </c>
      <c r="S39" s="20">
        <f t="shared" si="21"/>
        <v>3.6960184494177255E-2</v>
      </c>
      <c r="T39" s="20">
        <f t="shared" si="22"/>
        <v>0.24</v>
      </c>
      <c r="U39" s="20">
        <f t="shared" si="23"/>
        <v>-0.20303981550582273</v>
      </c>
      <c r="V39" s="21">
        <f t="shared" si="24"/>
        <v>4.8217859034182382</v>
      </c>
      <c r="W39" s="19">
        <f t="shared" si="25"/>
        <v>-4373462.2923634183</v>
      </c>
      <c r="X39" s="20">
        <f>IFERROR(NPV_IRR!L39,0)</f>
        <v>1.2221101133348622E-2</v>
      </c>
      <c r="Y39" s="20">
        <f t="shared" si="26"/>
        <v>0.11</v>
      </c>
      <c r="Z39" s="17" t="str">
        <f>Raw_Data!O39</f>
        <v>Cancelled</v>
      </c>
      <c r="AA39" s="17" t="str">
        <f>Raw_Data!P39</f>
        <v>High</v>
      </c>
      <c r="AB39" s="17" t="str">
        <f t="shared" si="27"/>
        <v>Underperforming</v>
      </c>
      <c r="AC39" s="17" t="str">
        <f t="shared" si="28"/>
        <v>Review / Restructure</v>
      </c>
      <c r="AD39" s="20">
        <f t="shared" si="29"/>
        <v>0.85349976461671628</v>
      </c>
      <c r="AE39" s="20">
        <f t="shared" si="30"/>
        <v>0.94918353615893047</v>
      </c>
      <c r="AF39" s="19">
        <f t="shared" si="31"/>
        <v>-980000</v>
      </c>
      <c r="AG39" s="22">
        <f t="shared" si="32"/>
        <v>42.197918030708465</v>
      </c>
      <c r="AH39" s="17" t="str">
        <f t="shared" si="33"/>
        <v>Significantly Below Target</v>
      </c>
    </row>
    <row r="40" spans="1:34" ht="15" customHeight="1" x14ac:dyDescent="0.25">
      <c r="A40" s="17" t="str">
        <f>Raw_Data!A40</f>
        <v>INV-036</v>
      </c>
      <c r="B40" s="17" t="str">
        <f>Raw_Data!B40</f>
        <v>Tier-2 City Expansion – Central</v>
      </c>
      <c r="C40" s="17" t="str">
        <f>Raw_Data!C40</f>
        <v>Expansion</v>
      </c>
      <c r="D40" s="17" t="str">
        <f>Raw_Data!D40</f>
        <v>Finance</v>
      </c>
      <c r="E40" s="17" t="str">
        <f>Raw_Data!E40</f>
        <v>Central</v>
      </c>
      <c r="F40" s="18">
        <f>Raw_Data!F40</f>
        <v>45592</v>
      </c>
      <c r="G40" s="18">
        <f>Raw_Data!G40</f>
        <v>46342</v>
      </c>
      <c r="H40" s="19">
        <f>Raw_Data!H40</f>
        <v>30470000</v>
      </c>
      <c r="I40" s="19">
        <f>Raw_Data!I40</f>
        <v>3740000</v>
      </c>
      <c r="J40" s="19">
        <f t="shared" si="17"/>
        <v>34210000</v>
      </c>
      <c r="K40" s="19">
        <f>Raw_Data!J40</f>
        <v>34970000</v>
      </c>
      <c r="L40" s="19">
        <f>Raw_Data!K40</f>
        <v>37734849.368551902</v>
      </c>
      <c r="M40" s="19">
        <f>Raw_Data!L40</f>
        <v>36456320.112485997</v>
      </c>
      <c r="N40" s="19">
        <f>Raw_Data!M40</f>
        <v>3259350.32002912</v>
      </c>
      <c r="O40" s="19">
        <f>Raw_Data!N40</f>
        <v>3307336.0439741998</v>
      </c>
      <c r="P40" s="19">
        <f t="shared" si="18"/>
        <v>40994199.68858102</v>
      </c>
      <c r="Q40" s="19">
        <f t="shared" si="19"/>
        <v>39763656.156460196</v>
      </c>
      <c r="R40" s="19">
        <f t="shared" si="20"/>
        <v>5553656.1564601958</v>
      </c>
      <c r="S40" s="20">
        <f t="shared" si="21"/>
        <v>0.16234013903712938</v>
      </c>
      <c r="T40" s="20">
        <f t="shared" si="22"/>
        <v>0.18</v>
      </c>
      <c r="U40" s="20">
        <f t="shared" si="23"/>
        <v>-1.7659860962870616E-2</v>
      </c>
      <c r="V40" s="21">
        <f t="shared" si="24"/>
        <v>4.301666811697606</v>
      </c>
      <c r="W40" s="19">
        <f t="shared" si="25"/>
        <v>-3276648.9191082679</v>
      </c>
      <c r="X40" s="20">
        <f>IFERROR(NPV_IRR!L40,0)</f>
        <v>5.2335554895206915E-2</v>
      </c>
      <c r="Y40" s="20">
        <f t="shared" si="26"/>
        <v>0.09</v>
      </c>
      <c r="Z40" s="17" t="str">
        <f>Raw_Data!O40</f>
        <v>On Hold</v>
      </c>
      <c r="AA40" s="17" t="str">
        <f>Raw_Data!P40</f>
        <v>Medium</v>
      </c>
      <c r="AB40" s="17" t="str">
        <f t="shared" si="27"/>
        <v>Watch</v>
      </c>
      <c r="AC40" s="17" t="str">
        <f t="shared" si="28"/>
        <v>Review / Restructure</v>
      </c>
      <c r="AD40" s="20">
        <f t="shared" si="29"/>
        <v>0.96611807712338649</v>
      </c>
      <c r="AE40" s="20">
        <f t="shared" si="30"/>
        <v>1.0147224812411852</v>
      </c>
      <c r="AF40" s="19">
        <f t="shared" si="31"/>
        <v>-760000</v>
      </c>
      <c r="AG40" s="22">
        <f t="shared" si="32"/>
        <v>60.289136425556862</v>
      </c>
      <c r="AH40" s="17" t="str">
        <f t="shared" si="33"/>
        <v>Below Target</v>
      </c>
    </row>
    <row r="41" spans="1:34" ht="15" customHeight="1" x14ac:dyDescent="0.25">
      <c r="A41" s="17" t="str">
        <f>Raw_Data!A41</f>
        <v>INV-037</v>
      </c>
      <c r="B41" s="17" t="str">
        <f>Raw_Data!B41</f>
        <v>Automated Packaging Line – South</v>
      </c>
      <c r="C41" s="17" t="str">
        <f>Raw_Data!C41</f>
        <v>Equipment</v>
      </c>
      <c r="D41" s="17" t="str">
        <f>Raw_Data!D41</f>
        <v>Sales</v>
      </c>
      <c r="E41" s="17" t="str">
        <f>Raw_Data!E41</f>
        <v>South</v>
      </c>
      <c r="F41" s="18">
        <f>Raw_Data!F41</f>
        <v>45554</v>
      </c>
      <c r="G41" s="18">
        <f>Raw_Data!G41</f>
        <v>46282</v>
      </c>
      <c r="H41" s="19">
        <f>Raw_Data!H41</f>
        <v>11270000</v>
      </c>
      <c r="I41" s="19">
        <f>Raw_Data!I41</f>
        <v>600000</v>
      </c>
      <c r="J41" s="19">
        <f t="shared" si="17"/>
        <v>11870000</v>
      </c>
      <c r="K41" s="19">
        <f>Raw_Data!J41</f>
        <v>11780000</v>
      </c>
      <c r="L41" s="19">
        <f>Raw_Data!K41</f>
        <v>12982980.520477399</v>
      </c>
      <c r="M41" s="19">
        <f>Raw_Data!L41</f>
        <v>12664544.494498</v>
      </c>
      <c r="N41" s="19">
        <f>Raw_Data!M41</f>
        <v>1130416.05090546</v>
      </c>
      <c r="O41" s="19">
        <f>Raw_Data!N41</f>
        <v>1036472.4950767501</v>
      </c>
      <c r="P41" s="19">
        <f t="shared" si="18"/>
        <v>14113396.57138286</v>
      </c>
      <c r="Q41" s="19">
        <f t="shared" si="19"/>
        <v>13701016.989574749</v>
      </c>
      <c r="R41" s="19">
        <f t="shared" si="20"/>
        <v>1831016.989574749</v>
      </c>
      <c r="S41" s="20">
        <f t="shared" si="21"/>
        <v>0.15425585421859722</v>
      </c>
      <c r="T41" s="20">
        <f t="shared" si="22"/>
        <v>0.17</v>
      </c>
      <c r="U41" s="20">
        <f t="shared" si="23"/>
        <v>-1.5744145781402791E-2</v>
      </c>
      <c r="V41" s="21">
        <f t="shared" si="24"/>
        <v>4.3317952269645419</v>
      </c>
      <c r="W41" s="19">
        <f t="shared" si="25"/>
        <v>-1742490.4338932075</v>
      </c>
      <c r="X41" s="20">
        <f>IFERROR(NPV_IRR!L41,0)</f>
        <v>4.9806352241822394E-2</v>
      </c>
      <c r="Y41" s="20">
        <f t="shared" si="26"/>
        <v>0.11</v>
      </c>
      <c r="Z41" s="17" t="str">
        <f>Raw_Data!O41</f>
        <v>Active</v>
      </c>
      <c r="AA41" s="17" t="str">
        <f>Raw_Data!P41</f>
        <v>Low</v>
      </c>
      <c r="AB41" s="17" t="str">
        <f t="shared" si="27"/>
        <v>Watch</v>
      </c>
      <c r="AC41" s="17" t="str">
        <f t="shared" si="28"/>
        <v>Review / Restructure</v>
      </c>
      <c r="AD41" s="20">
        <f t="shared" si="29"/>
        <v>0.97547281030906985</v>
      </c>
      <c r="AE41" s="20">
        <f t="shared" si="30"/>
        <v>0.91689470814443808</v>
      </c>
      <c r="AF41" s="19">
        <f t="shared" si="31"/>
        <v>90000</v>
      </c>
      <c r="AG41" s="22">
        <f t="shared" si="32"/>
        <v>59.526167924578047</v>
      </c>
      <c r="AH41" s="17" t="str">
        <f t="shared" si="33"/>
        <v>Below Target</v>
      </c>
    </row>
    <row r="42" spans="1:34" ht="15" customHeight="1" x14ac:dyDescent="0.25">
      <c r="A42" s="17" t="str">
        <f>Raw_Data!A42</f>
        <v>INV-038</v>
      </c>
      <c r="B42" s="17" t="str">
        <f>Raw_Data!B42</f>
        <v>RPA Finance Rollout – West</v>
      </c>
      <c r="C42" s="17" t="str">
        <f>Raw_Data!C42</f>
        <v>Automation</v>
      </c>
      <c r="D42" s="17" t="str">
        <f>Raw_Data!D42</f>
        <v>IT</v>
      </c>
      <c r="E42" s="17" t="str">
        <f>Raw_Data!E42</f>
        <v>West</v>
      </c>
      <c r="F42" s="18">
        <f>Raw_Data!F42</f>
        <v>46007</v>
      </c>
      <c r="G42" s="18">
        <f>Raw_Data!G42</f>
        <v>46740</v>
      </c>
      <c r="H42" s="19">
        <f>Raw_Data!H42</f>
        <v>27270000</v>
      </c>
      <c r="I42" s="19">
        <f>Raw_Data!I42</f>
        <v>4600000</v>
      </c>
      <c r="J42" s="19">
        <f t="shared" si="17"/>
        <v>31870000</v>
      </c>
      <c r="K42" s="19">
        <f>Raw_Data!J42</f>
        <v>32240000</v>
      </c>
      <c r="L42" s="19">
        <f>Raw_Data!K42</f>
        <v>34080915.121810302</v>
      </c>
      <c r="M42" s="19">
        <f>Raw_Data!L42</f>
        <v>30088828.2714632</v>
      </c>
      <c r="N42" s="19">
        <f>Raw_Data!M42</f>
        <v>3982712.0504586999</v>
      </c>
      <c r="O42" s="19">
        <f>Raw_Data!N42</f>
        <v>3931583.13186407</v>
      </c>
      <c r="P42" s="19">
        <f t="shared" si="18"/>
        <v>38063627.172269002</v>
      </c>
      <c r="Q42" s="19">
        <f t="shared" si="19"/>
        <v>34020411.403327271</v>
      </c>
      <c r="R42" s="19">
        <f t="shared" si="20"/>
        <v>2150411.4033272713</v>
      </c>
      <c r="S42" s="20">
        <f t="shared" si="21"/>
        <v>6.7474471394015412E-2</v>
      </c>
      <c r="T42" s="20">
        <f t="shared" si="22"/>
        <v>0.25</v>
      </c>
      <c r="U42" s="20">
        <f t="shared" si="23"/>
        <v>-0.18252552860598459</v>
      </c>
      <c r="V42" s="21">
        <f t="shared" si="24"/>
        <v>4.6839527632642097</v>
      </c>
      <c r="W42" s="19">
        <f t="shared" si="25"/>
        <v>-6722812.5910469815</v>
      </c>
      <c r="X42" s="20">
        <f>IFERROR(NPV_IRR!L42,0)</f>
        <v>2.2167536418655986E-2</v>
      </c>
      <c r="Y42" s="20">
        <f t="shared" si="26"/>
        <v>0.11</v>
      </c>
      <c r="Z42" s="17" t="str">
        <f>Raw_Data!O42</f>
        <v>Completed</v>
      </c>
      <c r="AA42" s="17" t="str">
        <f>Raw_Data!P42</f>
        <v>High</v>
      </c>
      <c r="AB42" s="17" t="str">
        <f t="shared" si="27"/>
        <v>Underperforming</v>
      </c>
      <c r="AC42" s="17" t="str">
        <f t="shared" si="28"/>
        <v>Review / Restructure</v>
      </c>
      <c r="AD42" s="20">
        <f t="shared" si="29"/>
        <v>0.88286444668287856</v>
      </c>
      <c r="AE42" s="20">
        <f t="shared" si="30"/>
        <v>0.98716228591300215</v>
      </c>
      <c r="AF42" s="19">
        <f t="shared" si="31"/>
        <v>-370000</v>
      </c>
      <c r="AG42" s="22">
        <f t="shared" si="32"/>
        <v>44.309215744601545</v>
      </c>
      <c r="AH42" s="17" t="str">
        <f t="shared" si="33"/>
        <v>Significantly Below Target</v>
      </c>
    </row>
    <row r="43" spans="1:34" ht="15" customHeight="1" x14ac:dyDescent="0.25">
      <c r="A43" s="17" t="str">
        <f>Raw_Data!A43</f>
        <v>INV-039</v>
      </c>
      <c r="B43" s="17" t="str">
        <f>Raw_Data!B43</f>
        <v>Leadership Development – North</v>
      </c>
      <c r="C43" s="17" t="str">
        <f>Raw_Data!C43</f>
        <v>Training</v>
      </c>
      <c r="D43" s="17" t="str">
        <f>Raw_Data!D43</f>
        <v>Product</v>
      </c>
      <c r="E43" s="17" t="str">
        <f>Raw_Data!E43</f>
        <v>North</v>
      </c>
      <c r="F43" s="18">
        <f>Raw_Data!F43</f>
        <v>45511</v>
      </c>
      <c r="G43" s="18">
        <f>Raw_Data!G43</f>
        <v>45986</v>
      </c>
      <c r="H43" s="19">
        <f>Raw_Data!H43</f>
        <v>10840000</v>
      </c>
      <c r="I43" s="19">
        <f>Raw_Data!I43</f>
        <v>860000</v>
      </c>
      <c r="J43" s="19">
        <f t="shared" si="17"/>
        <v>11700000</v>
      </c>
      <c r="K43" s="19">
        <f>Raw_Data!J43</f>
        <v>11920000</v>
      </c>
      <c r="L43" s="19">
        <f>Raw_Data!K43</f>
        <v>10910348.9850381</v>
      </c>
      <c r="M43" s="19">
        <f>Raw_Data!L43</f>
        <v>9368237.7257886697</v>
      </c>
      <c r="N43" s="19">
        <f>Raw_Data!M43</f>
        <v>2243593.9232177199</v>
      </c>
      <c r="O43" s="19">
        <f>Raw_Data!N43</f>
        <v>1730147.72915352</v>
      </c>
      <c r="P43" s="19">
        <f t="shared" si="18"/>
        <v>13153942.908255819</v>
      </c>
      <c r="Q43" s="19">
        <f t="shared" si="19"/>
        <v>11098385.454942189</v>
      </c>
      <c r="R43" s="19">
        <f t="shared" si="20"/>
        <v>-601614.54505781084</v>
      </c>
      <c r="S43" s="20">
        <f t="shared" si="21"/>
        <v>-5.1420046586137677E-2</v>
      </c>
      <c r="T43" s="20">
        <f t="shared" si="22"/>
        <v>0.15</v>
      </c>
      <c r="U43" s="20">
        <f t="shared" si="23"/>
        <v>-0.20142004658613766</v>
      </c>
      <c r="V43" s="21">
        <f t="shared" si="24"/>
        <v>5.2710369663678911</v>
      </c>
      <c r="W43" s="19">
        <f t="shared" si="25"/>
        <v>-3285677.4511220008</v>
      </c>
      <c r="X43" s="20">
        <f>IFERROR(NPV_IRR!L43,0)</f>
        <v>-1.7342250081645139E-2</v>
      </c>
      <c r="Y43" s="20">
        <f t="shared" si="26"/>
        <v>0.1</v>
      </c>
      <c r="Z43" s="17" t="str">
        <f>Raw_Data!O43</f>
        <v>Cancelled</v>
      </c>
      <c r="AA43" s="17" t="str">
        <f>Raw_Data!P43</f>
        <v>Medium</v>
      </c>
      <c r="AB43" s="17" t="str">
        <f t="shared" si="27"/>
        <v>Underperforming</v>
      </c>
      <c r="AC43" s="17" t="str">
        <f t="shared" si="28"/>
        <v>Review / Restructure</v>
      </c>
      <c r="AD43" s="20">
        <f t="shared" si="29"/>
        <v>0.85865610152670613</v>
      </c>
      <c r="AE43" s="20">
        <f t="shared" si="30"/>
        <v>0.77115012268894667</v>
      </c>
      <c r="AF43" s="19">
        <f t="shared" si="31"/>
        <v>-220000</v>
      </c>
      <c r="AG43" s="22">
        <f t="shared" si="32"/>
        <v>42.032400456266728</v>
      </c>
      <c r="AH43" s="17" t="str">
        <f t="shared" si="33"/>
        <v>Significantly Below Target</v>
      </c>
    </row>
    <row r="44" spans="1:34" ht="15" customHeight="1" x14ac:dyDescent="0.25">
      <c r="A44" s="17" t="str">
        <f>Raw_Data!A44</f>
        <v>INV-040</v>
      </c>
      <c r="B44" s="17" t="str">
        <f>Raw_Data!B44</f>
        <v>Plant Utility Upgrade – East</v>
      </c>
      <c r="C44" s="17" t="str">
        <f>Raw_Data!C44</f>
        <v>Infrastructure</v>
      </c>
      <c r="D44" s="17" t="str">
        <f>Raw_Data!D44</f>
        <v>Marketing</v>
      </c>
      <c r="E44" s="17" t="str">
        <f>Raw_Data!E44</f>
        <v>East</v>
      </c>
      <c r="F44" s="18">
        <f>Raw_Data!F44</f>
        <v>46052</v>
      </c>
      <c r="G44" s="18">
        <f>Raw_Data!G44</f>
        <v>46657</v>
      </c>
      <c r="H44" s="19">
        <f>Raw_Data!H44</f>
        <v>38460000</v>
      </c>
      <c r="I44" s="19">
        <f>Raw_Data!I44</f>
        <v>4470000</v>
      </c>
      <c r="J44" s="19">
        <f t="shared" si="17"/>
        <v>42930000</v>
      </c>
      <c r="K44" s="19">
        <f>Raw_Data!J44</f>
        <v>42740000</v>
      </c>
      <c r="L44" s="19">
        <f>Raw_Data!K44</f>
        <v>46830217.1534684</v>
      </c>
      <c r="M44" s="19">
        <f>Raw_Data!L44</f>
        <v>46377135.482215904</v>
      </c>
      <c r="N44" s="19">
        <f>Raw_Data!M44</f>
        <v>4414640.70927817</v>
      </c>
      <c r="O44" s="19">
        <f>Raw_Data!N44</f>
        <v>4630096.1071302202</v>
      </c>
      <c r="P44" s="19">
        <f t="shared" si="18"/>
        <v>51244857.862746567</v>
      </c>
      <c r="Q44" s="19">
        <f t="shared" si="19"/>
        <v>51007231.589346126</v>
      </c>
      <c r="R44" s="19">
        <f t="shared" si="20"/>
        <v>8077231.5893461257</v>
      </c>
      <c r="S44" s="20">
        <f t="shared" si="21"/>
        <v>0.18814888398197357</v>
      </c>
      <c r="T44" s="20">
        <f t="shared" si="22"/>
        <v>0.13</v>
      </c>
      <c r="U44" s="20">
        <f t="shared" si="23"/>
        <v>5.814888398197357E-2</v>
      </c>
      <c r="V44" s="21">
        <f t="shared" si="24"/>
        <v>4.2082268202306023</v>
      </c>
      <c r="W44" s="19">
        <f t="shared" si="25"/>
        <v>-5226504.9780760184</v>
      </c>
      <c r="X44" s="20">
        <f>IFERROR(NPV_IRR!L44,0)</f>
        <v>6.0361293623078405E-2</v>
      </c>
      <c r="Y44" s="20">
        <f t="shared" si="26"/>
        <v>0.11</v>
      </c>
      <c r="Z44" s="17" t="str">
        <f>Raw_Data!O44</f>
        <v>On Hold</v>
      </c>
      <c r="AA44" s="17" t="str">
        <f>Raw_Data!P44</f>
        <v>Low</v>
      </c>
      <c r="AB44" s="17" t="str">
        <f t="shared" si="27"/>
        <v>Watch</v>
      </c>
      <c r="AC44" s="17" t="str">
        <f t="shared" si="28"/>
        <v>Review / Restructure</v>
      </c>
      <c r="AD44" s="20">
        <f t="shared" si="29"/>
        <v>0.99032501451428911</v>
      </c>
      <c r="AE44" s="20">
        <f t="shared" si="30"/>
        <v>1.048804741323395</v>
      </c>
      <c r="AF44" s="19">
        <f t="shared" si="31"/>
        <v>190000</v>
      </c>
      <c r="AG44" s="22">
        <f t="shared" si="32"/>
        <v>66.327200307608905</v>
      </c>
      <c r="AH44" s="17" t="str">
        <f t="shared" si="33"/>
        <v>Significantly Above Target</v>
      </c>
    </row>
    <row r="45" spans="1:34" ht="15" customHeight="1" x14ac:dyDescent="0.25">
      <c r="A45" s="17" t="str">
        <f>Raw_Data!A45</f>
        <v>INV-041</v>
      </c>
      <c r="B45" s="17" t="str">
        <f>Raw_Data!B45</f>
        <v>ERP Cloud Migration – Central</v>
      </c>
      <c r="C45" s="17" t="str">
        <f>Raw_Data!C45</f>
        <v>Technology</v>
      </c>
      <c r="D45" s="17" t="str">
        <f>Raw_Data!D45</f>
        <v>HR</v>
      </c>
      <c r="E45" s="17" t="str">
        <f>Raw_Data!E45</f>
        <v>Central</v>
      </c>
      <c r="F45" s="18">
        <f>Raw_Data!F45</f>
        <v>45594</v>
      </c>
      <c r="G45" s="18">
        <f>Raw_Data!G45</f>
        <v>45822</v>
      </c>
      <c r="H45" s="19">
        <f>Raw_Data!H45</f>
        <v>34970000</v>
      </c>
      <c r="I45" s="19">
        <f>Raw_Data!I45</f>
        <v>2950000</v>
      </c>
      <c r="J45" s="19">
        <f t="shared" si="17"/>
        <v>37920000</v>
      </c>
      <c r="K45" s="19">
        <f>Raw_Data!J45</f>
        <v>35160000</v>
      </c>
      <c r="L45" s="19">
        <f>Raw_Data!K45</f>
        <v>41665591.252777301</v>
      </c>
      <c r="M45" s="19">
        <f>Raw_Data!L45</f>
        <v>39870669.700076997</v>
      </c>
      <c r="N45" s="19">
        <f>Raw_Data!M45</f>
        <v>2845083.2102813302</v>
      </c>
      <c r="O45" s="19">
        <f>Raw_Data!N45</f>
        <v>2709280.88931019</v>
      </c>
      <c r="P45" s="19">
        <f t="shared" si="18"/>
        <v>44510674.463058628</v>
      </c>
      <c r="Q45" s="19">
        <f t="shared" si="19"/>
        <v>42579950.589387186</v>
      </c>
      <c r="R45" s="19">
        <f t="shared" si="20"/>
        <v>4659950.5893871859</v>
      </c>
      <c r="S45" s="20">
        <f t="shared" si="21"/>
        <v>0.12288899233615996</v>
      </c>
      <c r="T45" s="20">
        <f t="shared" si="22"/>
        <v>0.2</v>
      </c>
      <c r="U45" s="20">
        <f t="shared" si="23"/>
        <v>-7.7111007663840048E-2</v>
      </c>
      <c r="V45" s="21">
        <f t="shared" si="24"/>
        <v>4.4527999064248975</v>
      </c>
      <c r="W45" s="19">
        <f t="shared" si="25"/>
        <v>-7221761.48367019</v>
      </c>
      <c r="X45" s="20">
        <f>IFERROR(NPV_IRR!L45,0)</f>
        <v>3.9921846528377269E-2</v>
      </c>
      <c r="Y45" s="20">
        <f t="shared" si="26"/>
        <v>0.12</v>
      </c>
      <c r="Z45" s="17" t="str">
        <f>Raw_Data!O45</f>
        <v>Active</v>
      </c>
      <c r="AA45" s="17" t="str">
        <f>Raw_Data!P45</f>
        <v>High</v>
      </c>
      <c r="AB45" s="17" t="str">
        <f t="shared" si="27"/>
        <v>Underperforming</v>
      </c>
      <c r="AC45" s="17" t="str">
        <f t="shared" si="28"/>
        <v>Review / Restructure</v>
      </c>
      <c r="AD45" s="20">
        <f t="shared" si="29"/>
        <v>0.95692077086316019</v>
      </c>
      <c r="AE45" s="20">
        <f t="shared" si="30"/>
        <v>0.95226771558723178</v>
      </c>
      <c r="AF45" s="19">
        <f t="shared" si="31"/>
        <v>2760000</v>
      </c>
      <c r="AG45" s="22">
        <f t="shared" si="32"/>
        <v>50.907079948280447</v>
      </c>
      <c r="AH45" s="17" t="str">
        <f t="shared" si="33"/>
        <v>Significantly Below Target</v>
      </c>
    </row>
    <row r="46" spans="1:34" ht="15" customHeight="1" x14ac:dyDescent="0.25">
      <c r="A46" s="17" t="str">
        <f>Raw_Data!A46</f>
        <v>INV-042</v>
      </c>
      <c r="B46" s="17" t="str">
        <f>Raw_Data!B46</f>
        <v>Brand Repositioning – South</v>
      </c>
      <c r="C46" s="17" t="str">
        <f>Raw_Data!C46</f>
        <v>Marketing</v>
      </c>
      <c r="D46" s="17" t="str">
        <f>Raw_Data!D46</f>
        <v>Supply Chain</v>
      </c>
      <c r="E46" s="17" t="str">
        <f>Raw_Data!E46</f>
        <v>South</v>
      </c>
      <c r="F46" s="18">
        <f>Raw_Data!F46</f>
        <v>45714</v>
      </c>
      <c r="G46" s="18">
        <f>Raw_Data!G46</f>
        <v>46379</v>
      </c>
      <c r="H46" s="19">
        <f>Raw_Data!H46</f>
        <v>6510000</v>
      </c>
      <c r="I46" s="19">
        <f>Raw_Data!I46</f>
        <v>1040000</v>
      </c>
      <c r="J46" s="19">
        <f t="shared" si="17"/>
        <v>7550000</v>
      </c>
      <c r="K46" s="19">
        <f>Raw_Data!J46</f>
        <v>8020000</v>
      </c>
      <c r="L46" s="19">
        <f>Raw_Data!K46</f>
        <v>7996806.1038059304</v>
      </c>
      <c r="M46" s="19">
        <f>Raw_Data!L46</f>
        <v>8258356.0461445898</v>
      </c>
      <c r="N46" s="19">
        <f>Raw_Data!M46</f>
        <v>1136458.7773798599</v>
      </c>
      <c r="O46" s="19">
        <f>Raw_Data!N46</f>
        <v>928201.94010888203</v>
      </c>
      <c r="P46" s="19">
        <f t="shared" si="18"/>
        <v>9133264.8811857905</v>
      </c>
      <c r="Q46" s="19">
        <f t="shared" si="19"/>
        <v>9186557.986253472</v>
      </c>
      <c r="R46" s="19">
        <f t="shared" si="20"/>
        <v>1636557.986253472</v>
      </c>
      <c r="S46" s="20">
        <f t="shared" si="21"/>
        <v>0.21676264718589033</v>
      </c>
      <c r="T46" s="20">
        <f t="shared" si="22"/>
        <v>0.22</v>
      </c>
      <c r="U46" s="20">
        <f t="shared" si="23"/>
        <v>-3.2373528141096675E-3</v>
      </c>
      <c r="V46" s="21">
        <f t="shared" si="24"/>
        <v>4.1092648690062292</v>
      </c>
      <c r="W46" s="19">
        <f t="shared" si="25"/>
        <v>-759485.54722838383</v>
      </c>
      <c r="X46" s="20">
        <f>IFERROR(NPV_IRR!L46,0)</f>
        <v>6.9175514612309863E-2</v>
      </c>
      <c r="Y46" s="20">
        <f t="shared" si="26"/>
        <v>0.11</v>
      </c>
      <c r="Z46" s="17" t="str">
        <f>Raw_Data!O46</f>
        <v>Completed</v>
      </c>
      <c r="AA46" s="17" t="str">
        <f>Raw_Data!P46</f>
        <v>Medium</v>
      </c>
      <c r="AB46" s="17" t="str">
        <f t="shared" si="27"/>
        <v>Watch</v>
      </c>
      <c r="AC46" s="17" t="str">
        <f t="shared" si="28"/>
        <v>Review / Restructure</v>
      </c>
      <c r="AD46" s="20">
        <f t="shared" si="29"/>
        <v>1.0327068005580602</v>
      </c>
      <c r="AE46" s="20">
        <f t="shared" si="30"/>
        <v>0.81674932569827097</v>
      </c>
      <c r="AF46" s="19">
        <f t="shared" si="31"/>
        <v>-470000</v>
      </c>
      <c r="AG46" s="22">
        <f t="shared" si="32"/>
        <v>59.908368581256241</v>
      </c>
      <c r="AH46" s="17" t="str">
        <f t="shared" si="33"/>
        <v>On Target</v>
      </c>
    </row>
    <row r="47" spans="1:34" ht="15" customHeight="1" x14ac:dyDescent="0.25">
      <c r="A47" s="17" t="str">
        <f>Raw_Data!A47</f>
        <v>INV-043</v>
      </c>
      <c r="B47" s="17" t="str">
        <f>Raw_Data!B47</f>
        <v>Premium Product Line – West</v>
      </c>
      <c r="C47" s="17" t="str">
        <f>Raw_Data!C47</f>
        <v>Product Development</v>
      </c>
      <c r="D47" s="17" t="str">
        <f>Raw_Data!D47</f>
        <v>Operations</v>
      </c>
      <c r="E47" s="17" t="str">
        <f>Raw_Data!E47</f>
        <v>West</v>
      </c>
      <c r="F47" s="18">
        <f>Raw_Data!F47</f>
        <v>45927</v>
      </c>
      <c r="G47" s="18">
        <f>Raw_Data!G47</f>
        <v>46255</v>
      </c>
      <c r="H47" s="19">
        <f>Raw_Data!H47</f>
        <v>26220000</v>
      </c>
      <c r="I47" s="19">
        <f>Raw_Data!I47</f>
        <v>4060000</v>
      </c>
      <c r="J47" s="19">
        <f t="shared" si="17"/>
        <v>30280000</v>
      </c>
      <c r="K47" s="19">
        <f>Raw_Data!J47</f>
        <v>27900000</v>
      </c>
      <c r="L47" s="19">
        <f>Raw_Data!K47</f>
        <v>34890365.351291798</v>
      </c>
      <c r="M47" s="19">
        <f>Raw_Data!L47</f>
        <v>28262020.175611898</v>
      </c>
      <c r="N47" s="19">
        <f>Raw_Data!M47</f>
        <v>4131830.4328336101</v>
      </c>
      <c r="O47" s="19">
        <f>Raw_Data!N47</f>
        <v>3628185.7592732999</v>
      </c>
      <c r="P47" s="19">
        <f t="shared" si="18"/>
        <v>39022195.78412541</v>
      </c>
      <c r="Q47" s="19">
        <f t="shared" si="19"/>
        <v>31890205.934885196</v>
      </c>
      <c r="R47" s="19">
        <f t="shared" si="20"/>
        <v>1610205.9348851964</v>
      </c>
      <c r="S47" s="20">
        <f t="shared" si="21"/>
        <v>5.3177210531215206E-2</v>
      </c>
      <c r="T47" s="20">
        <f t="shared" si="22"/>
        <v>0.24</v>
      </c>
      <c r="U47" s="20">
        <f t="shared" si="23"/>
        <v>-0.18682278946878478</v>
      </c>
      <c r="V47" s="21">
        <f t="shared" si="24"/>
        <v>4.7475391130786386</v>
      </c>
      <c r="W47" s="19">
        <f t="shared" si="25"/>
        <v>-6102205.8536652923</v>
      </c>
      <c r="X47" s="20">
        <f>IFERROR(NPV_IRR!L47,0)</f>
        <v>1.7522836294170174E-2</v>
      </c>
      <c r="Y47" s="20">
        <f t="shared" si="26"/>
        <v>0.1</v>
      </c>
      <c r="Z47" s="17" t="str">
        <f>Raw_Data!O47</f>
        <v>Cancelled</v>
      </c>
      <c r="AA47" s="17" t="str">
        <f>Raw_Data!P47</f>
        <v>Low</v>
      </c>
      <c r="AB47" s="17" t="str">
        <f t="shared" si="27"/>
        <v>Underperforming</v>
      </c>
      <c r="AC47" s="17" t="str">
        <f t="shared" si="28"/>
        <v>Review / Restructure</v>
      </c>
      <c r="AD47" s="20">
        <f t="shared" si="29"/>
        <v>0.81002362374418391</v>
      </c>
      <c r="AE47" s="20">
        <f t="shared" si="30"/>
        <v>0.87810616099874395</v>
      </c>
      <c r="AF47" s="19">
        <f t="shared" si="31"/>
        <v>2380000</v>
      </c>
      <c r="AG47" s="22">
        <f t="shared" si="32"/>
        <v>41.323129737328713</v>
      </c>
      <c r="AH47" s="17" t="str">
        <f t="shared" si="33"/>
        <v>Significantly Below Target</v>
      </c>
    </row>
    <row r="48" spans="1:34" ht="15" customHeight="1" x14ac:dyDescent="0.25">
      <c r="A48" s="17" t="str">
        <f>Raw_Data!A48</f>
        <v>INV-044</v>
      </c>
      <c r="B48" s="17" t="str">
        <f>Raw_Data!B48</f>
        <v>Tier-2 City Expansion – North</v>
      </c>
      <c r="C48" s="17" t="str">
        <f>Raw_Data!C48</f>
        <v>Expansion</v>
      </c>
      <c r="D48" s="17" t="str">
        <f>Raw_Data!D48</f>
        <v>Finance</v>
      </c>
      <c r="E48" s="17" t="str">
        <f>Raw_Data!E48</f>
        <v>North</v>
      </c>
      <c r="F48" s="18">
        <f>Raw_Data!F48</f>
        <v>45407</v>
      </c>
      <c r="G48" s="18">
        <f>Raw_Data!G48</f>
        <v>46142</v>
      </c>
      <c r="H48" s="19">
        <f>Raw_Data!H48</f>
        <v>25120000</v>
      </c>
      <c r="I48" s="19">
        <f>Raw_Data!I48</f>
        <v>3980000</v>
      </c>
      <c r="J48" s="19">
        <f t="shared" si="17"/>
        <v>29100000</v>
      </c>
      <c r="K48" s="19">
        <f>Raw_Data!J48</f>
        <v>31600000</v>
      </c>
      <c r="L48" s="19">
        <f>Raw_Data!K48</f>
        <v>27295551.015412901</v>
      </c>
      <c r="M48" s="19">
        <f>Raw_Data!L48</f>
        <v>24946431.4100237</v>
      </c>
      <c r="N48" s="19">
        <f>Raw_Data!M48</f>
        <v>6289130.1924639503</v>
      </c>
      <c r="O48" s="19">
        <f>Raw_Data!N48</f>
        <v>4925291.6005744804</v>
      </c>
      <c r="P48" s="19">
        <f t="shared" si="18"/>
        <v>33584681.207876854</v>
      </c>
      <c r="Q48" s="19">
        <f t="shared" si="19"/>
        <v>29871723.010598183</v>
      </c>
      <c r="R48" s="19">
        <f t="shared" si="20"/>
        <v>771723.01059818268</v>
      </c>
      <c r="S48" s="20">
        <f t="shared" si="21"/>
        <v>2.6519691085848202E-2</v>
      </c>
      <c r="T48" s="20">
        <f t="shared" si="22"/>
        <v>0.18</v>
      </c>
      <c r="U48" s="20">
        <f t="shared" si="23"/>
        <v>-0.15348030891415179</v>
      </c>
      <c r="V48" s="21">
        <f t="shared" si="24"/>
        <v>4.8708271681676374</v>
      </c>
      <c r="W48" s="19">
        <f t="shared" si="25"/>
        <v>-5861882.9706668481</v>
      </c>
      <c r="X48" s="20">
        <f>IFERROR(NPV_IRR!L48,0)</f>
        <v>8.7886303416104816E-3</v>
      </c>
      <c r="Y48" s="20">
        <f t="shared" si="26"/>
        <v>0.09</v>
      </c>
      <c r="Z48" s="17" t="str">
        <f>Raw_Data!O48</f>
        <v>On Hold</v>
      </c>
      <c r="AA48" s="17" t="str">
        <f>Raw_Data!P48</f>
        <v>High</v>
      </c>
      <c r="AB48" s="17" t="str">
        <f t="shared" si="27"/>
        <v>Underperforming</v>
      </c>
      <c r="AC48" s="17" t="str">
        <f t="shared" si="28"/>
        <v>Review / Restructure</v>
      </c>
      <c r="AD48" s="20">
        <f t="shared" si="29"/>
        <v>0.91393763752698276</v>
      </c>
      <c r="AE48" s="20">
        <f t="shared" si="30"/>
        <v>0.78314352698188516</v>
      </c>
      <c r="AF48" s="19">
        <f t="shared" si="31"/>
        <v>-2500000</v>
      </c>
      <c r="AG48" s="22">
        <f t="shared" si="32"/>
        <v>46.531089247194004</v>
      </c>
      <c r="AH48" s="17" t="str">
        <f t="shared" si="33"/>
        <v>Significantly Below Target</v>
      </c>
    </row>
    <row r="49" spans="1:34" ht="15" customHeight="1" x14ac:dyDescent="0.25">
      <c r="A49" s="17" t="str">
        <f>Raw_Data!A49</f>
        <v>INV-045</v>
      </c>
      <c r="B49" s="17" t="str">
        <f>Raw_Data!B49</f>
        <v>Automated Packaging Line – East</v>
      </c>
      <c r="C49" s="17" t="str">
        <f>Raw_Data!C49</f>
        <v>Equipment</v>
      </c>
      <c r="D49" s="17" t="str">
        <f>Raw_Data!D49</f>
        <v>Sales</v>
      </c>
      <c r="E49" s="17" t="str">
        <f>Raw_Data!E49</f>
        <v>East</v>
      </c>
      <c r="F49" s="18">
        <f>Raw_Data!F49</f>
        <v>45590</v>
      </c>
      <c r="G49" s="18">
        <f>Raw_Data!G49</f>
        <v>46438</v>
      </c>
      <c r="H49" s="19">
        <f>Raw_Data!H49</f>
        <v>31270000</v>
      </c>
      <c r="I49" s="19">
        <f>Raw_Data!I49</f>
        <v>2580000</v>
      </c>
      <c r="J49" s="19">
        <f t="shared" si="17"/>
        <v>33850000</v>
      </c>
      <c r="K49" s="19">
        <f>Raw_Data!J49</f>
        <v>32910000</v>
      </c>
      <c r="L49" s="19">
        <f>Raw_Data!K49</f>
        <v>34777860.597658001</v>
      </c>
      <c r="M49" s="19">
        <f>Raw_Data!L49</f>
        <v>34033548.3839937</v>
      </c>
      <c r="N49" s="19">
        <f>Raw_Data!M49</f>
        <v>5538107.4529626099</v>
      </c>
      <c r="O49" s="19">
        <f>Raw_Data!N49</f>
        <v>5365217.4958906099</v>
      </c>
      <c r="P49" s="19">
        <f t="shared" si="18"/>
        <v>40315968.050620608</v>
      </c>
      <c r="Q49" s="19">
        <f t="shared" si="19"/>
        <v>39398765.87988431</v>
      </c>
      <c r="R49" s="19">
        <f t="shared" si="20"/>
        <v>5548765.8798843101</v>
      </c>
      <c r="S49" s="20">
        <f t="shared" si="21"/>
        <v>0.16392218256674476</v>
      </c>
      <c r="T49" s="20">
        <f t="shared" si="22"/>
        <v>0.17</v>
      </c>
      <c r="U49" s="20">
        <f t="shared" si="23"/>
        <v>-6.0778174332552504E-3</v>
      </c>
      <c r="V49" s="21">
        <f t="shared" si="24"/>
        <v>4.2958198364891773</v>
      </c>
      <c r="W49" s="19">
        <f t="shared" si="25"/>
        <v>-4727243.7370932214</v>
      </c>
      <c r="X49" s="20">
        <f>IFERROR(NPV_IRR!L49,0)</f>
        <v>5.2829642665181531E-2</v>
      </c>
      <c r="Y49" s="20">
        <f t="shared" si="26"/>
        <v>0.11</v>
      </c>
      <c r="Z49" s="17" t="str">
        <f>Raw_Data!O49</f>
        <v>Active</v>
      </c>
      <c r="AA49" s="17" t="str">
        <f>Raw_Data!P49</f>
        <v>Medium</v>
      </c>
      <c r="AB49" s="17" t="str">
        <f t="shared" si="27"/>
        <v>Watch</v>
      </c>
      <c r="AC49" s="17" t="str">
        <f t="shared" si="28"/>
        <v>Review / Restructure</v>
      </c>
      <c r="AD49" s="20">
        <f t="shared" si="29"/>
        <v>0.97859810233081379</v>
      </c>
      <c r="AE49" s="20">
        <f t="shared" si="30"/>
        <v>0.96878176190324505</v>
      </c>
      <c r="AF49" s="19">
        <f t="shared" si="31"/>
        <v>940000</v>
      </c>
      <c r="AG49" s="22">
        <f t="shared" si="32"/>
        <v>59.532373466137884</v>
      </c>
      <c r="AH49" s="17" t="str">
        <f t="shared" si="33"/>
        <v>On Target</v>
      </c>
    </row>
    <row r="50" spans="1:34" ht="15" customHeight="1" x14ac:dyDescent="0.25">
      <c r="A50" s="17" t="str">
        <f>Raw_Data!A50</f>
        <v>INV-046</v>
      </c>
      <c r="B50" s="17" t="str">
        <f>Raw_Data!B50</f>
        <v>RPA Finance Rollout – Central</v>
      </c>
      <c r="C50" s="17" t="str">
        <f>Raw_Data!C50</f>
        <v>Automation</v>
      </c>
      <c r="D50" s="17" t="str">
        <f>Raw_Data!D50</f>
        <v>IT</v>
      </c>
      <c r="E50" s="17" t="str">
        <f>Raw_Data!E50</f>
        <v>Central</v>
      </c>
      <c r="F50" s="18">
        <f>Raw_Data!F50</f>
        <v>46046</v>
      </c>
      <c r="G50" s="18">
        <f>Raw_Data!G50</f>
        <v>46564</v>
      </c>
      <c r="H50" s="19">
        <f>Raw_Data!H50</f>
        <v>11910000</v>
      </c>
      <c r="I50" s="19">
        <f>Raw_Data!I50</f>
        <v>1810000</v>
      </c>
      <c r="J50" s="19">
        <f t="shared" si="17"/>
        <v>13720000</v>
      </c>
      <c r="K50" s="19">
        <f>Raw_Data!J50</f>
        <v>13580000</v>
      </c>
      <c r="L50" s="19">
        <f>Raw_Data!K50</f>
        <v>15176139.392244</v>
      </c>
      <c r="M50" s="19">
        <f>Raw_Data!L50</f>
        <v>15890244.370139999</v>
      </c>
      <c r="N50" s="19">
        <f>Raw_Data!M50</f>
        <v>2456112.0002653599</v>
      </c>
      <c r="O50" s="19">
        <f>Raw_Data!N50</f>
        <v>2392969.4752419498</v>
      </c>
      <c r="P50" s="19">
        <f t="shared" si="18"/>
        <v>17632251.39250936</v>
      </c>
      <c r="Q50" s="19">
        <f t="shared" si="19"/>
        <v>18283213.845381949</v>
      </c>
      <c r="R50" s="19">
        <f t="shared" si="20"/>
        <v>4563213.8453819491</v>
      </c>
      <c r="S50" s="20">
        <f t="shared" si="21"/>
        <v>0.33259576132521496</v>
      </c>
      <c r="T50" s="20">
        <f t="shared" si="22"/>
        <v>0.25</v>
      </c>
      <c r="U50" s="20">
        <f t="shared" si="23"/>
        <v>8.2595761325214956E-2</v>
      </c>
      <c r="V50" s="21">
        <f t="shared" si="24"/>
        <v>3.7520755694342696</v>
      </c>
      <c r="W50" s="19">
        <f t="shared" si="25"/>
        <v>141553.02946784906</v>
      </c>
      <c r="X50" s="20">
        <f>IFERROR(NPV_IRR!L50,0)</f>
        <v>0.10403045792269872</v>
      </c>
      <c r="Y50" s="20">
        <f t="shared" si="26"/>
        <v>0.1</v>
      </c>
      <c r="Z50" s="17" t="str">
        <f>Raw_Data!O50</f>
        <v>Completed</v>
      </c>
      <c r="AA50" s="17" t="str">
        <f>Raw_Data!P50</f>
        <v>Low</v>
      </c>
      <c r="AB50" s="17" t="str">
        <f t="shared" si="27"/>
        <v>Good</v>
      </c>
      <c r="AC50" s="17" t="str">
        <f t="shared" si="28"/>
        <v>Increase / Scale</v>
      </c>
      <c r="AD50" s="20">
        <f t="shared" si="29"/>
        <v>1.0470544556450867</v>
      </c>
      <c r="AE50" s="20">
        <f t="shared" si="30"/>
        <v>0.97429167521001159</v>
      </c>
      <c r="AF50" s="19">
        <f t="shared" si="31"/>
        <v>140000</v>
      </c>
      <c r="AG50" s="22">
        <f t="shared" si="32"/>
        <v>68.321281225828216</v>
      </c>
      <c r="AH50" s="17" t="str">
        <f t="shared" si="33"/>
        <v>Significantly Above Target</v>
      </c>
    </row>
    <row r="51" spans="1:34" ht="15" customHeight="1" x14ac:dyDescent="0.25">
      <c r="A51" s="17" t="str">
        <f>Raw_Data!A51</f>
        <v>INV-047</v>
      </c>
      <c r="B51" s="17" t="str">
        <f>Raw_Data!B51</f>
        <v>Leadership Development – South</v>
      </c>
      <c r="C51" s="17" t="str">
        <f>Raw_Data!C51</f>
        <v>Training</v>
      </c>
      <c r="D51" s="17" t="str">
        <f>Raw_Data!D51</f>
        <v>Product</v>
      </c>
      <c r="E51" s="17" t="str">
        <f>Raw_Data!E51</f>
        <v>South</v>
      </c>
      <c r="F51" s="18">
        <f>Raw_Data!F51</f>
        <v>45818</v>
      </c>
      <c r="G51" s="18">
        <f>Raw_Data!G51</f>
        <v>46390</v>
      </c>
      <c r="H51" s="19">
        <f>Raw_Data!H51</f>
        <v>2410000</v>
      </c>
      <c r="I51" s="19">
        <f>Raw_Data!I51</f>
        <v>180000</v>
      </c>
      <c r="J51" s="19">
        <f t="shared" si="17"/>
        <v>2590000</v>
      </c>
      <c r="K51" s="19">
        <f>Raw_Data!J51</f>
        <v>2480000</v>
      </c>
      <c r="L51" s="19">
        <f>Raw_Data!K51</f>
        <v>2474760.7825453798</v>
      </c>
      <c r="M51" s="19">
        <f>Raw_Data!L51</f>
        <v>2223516.2246265602</v>
      </c>
      <c r="N51" s="19">
        <f>Raw_Data!M51</f>
        <v>376300.18113203702</v>
      </c>
      <c r="O51" s="19">
        <f>Raw_Data!N51</f>
        <v>373631.995101451</v>
      </c>
      <c r="P51" s="19">
        <f t="shared" si="18"/>
        <v>2851060.963677417</v>
      </c>
      <c r="Q51" s="19">
        <f t="shared" si="19"/>
        <v>2597148.2197280112</v>
      </c>
      <c r="R51" s="19">
        <f t="shared" si="20"/>
        <v>7148.2197280111723</v>
      </c>
      <c r="S51" s="20">
        <f t="shared" si="21"/>
        <v>2.7599303969155107E-3</v>
      </c>
      <c r="T51" s="20">
        <f t="shared" si="22"/>
        <v>0.15</v>
      </c>
      <c r="U51" s="20">
        <f t="shared" si="23"/>
        <v>-0.14724006960308447</v>
      </c>
      <c r="V51" s="21">
        <f t="shared" si="24"/>
        <v>4.9862383292687857</v>
      </c>
      <c r="W51" s="19">
        <f t="shared" si="25"/>
        <v>-717572.38071235432</v>
      </c>
      <c r="X51" s="20">
        <f>IFERROR(NPV_IRR!L51,0)</f>
        <v>9.1941351061697318E-4</v>
      </c>
      <c r="Y51" s="20">
        <f t="shared" si="26"/>
        <v>0.12</v>
      </c>
      <c r="Z51" s="17" t="str">
        <f>Raw_Data!O51</f>
        <v>Cancelled</v>
      </c>
      <c r="AA51" s="17" t="str">
        <f>Raw_Data!P51</f>
        <v>High</v>
      </c>
      <c r="AB51" s="17" t="str">
        <f t="shared" si="27"/>
        <v>Underperforming</v>
      </c>
      <c r="AC51" s="17" t="str">
        <f t="shared" si="28"/>
        <v>Review / Restructure</v>
      </c>
      <c r="AD51" s="20">
        <f t="shared" si="29"/>
        <v>0.89847723477321084</v>
      </c>
      <c r="AE51" s="20">
        <f t="shared" si="30"/>
        <v>0.99290942134930893</v>
      </c>
      <c r="AF51" s="19">
        <f t="shared" si="31"/>
        <v>110000</v>
      </c>
      <c r="AG51" s="22">
        <f t="shared" si="32"/>
        <v>45.714683007114289</v>
      </c>
      <c r="AH51" s="17" t="str">
        <f t="shared" si="33"/>
        <v>Significantly Below Target</v>
      </c>
    </row>
    <row r="52" spans="1:34" ht="15" customHeight="1" x14ac:dyDescent="0.25">
      <c r="A52" s="17" t="str">
        <f>Raw_Data!A52</f>
        <v>INV-048</v>
      </c>
      <c r="B52" s="17" t="str">
        <f>Raw_Data!B52</f>
        <v>Plant Utility Upgrade – West</v>
      </c>
      <c r="C52" s="17" t="str">
        <f>Raw_Data!C52</f>
        <v>Infrastructure</v>
      </c>
      <c r="D52" s="17" t="str">
        <f>Raw_Data!D52</f>
        <v>Marketing</v>
      </c>
      <c r="E52" s="17" t="str">
        <f>Raw_Data!E52</f>
        <v>West</v>
      </c>
      <c r="F52" s="18">
        <f>Raw_Data!F52</f>
        <v>45833</v>
      </c>
      <c r="G52" s="18">
        <f>Raw_Data!G52</f>
        <v>46596</v>
      </c>
      <c r="H52" s="19">
        <f>Raw_Data!H52</f>
        <v>16510000</v>
      </c>
      <c r="I52" s="19">
        <f>Raw_Data!I52</f>
        <v>1940000</v>
      </c>
      <c r="J52" s="19">
        <f t="shared" si="17"/>
        <v>18450000</v>
      </c>
      <c r="K52" s="19">
        <f>Raw_Data!J52</f>
        <v>16980000</v>
      </c>
      <c r="L52" s="19">
        <f>Raw_Data!K52</f>
        <v>18401439.984280299</v>
      </c>
      <c r="M52" s="19">
        <f>Raw_Data!L52</f>
        <v>18366951.0274381</v>
      </c>
      <c r="N52" s="19">
        <f>Raw_Data!M52</f>
        <v>2603594.4267803398</v>
      </c>
      <c r="O52" s="19">
        <f>Raw_Data!N52</f>
        <v>2462149.2740477999</v>
      </c>
      <c r="P52" s="19">
        <f t="shared" si="18"/>
        <v>21005034.411060639</v>
      </c>
      <c r="Q52" s="19">
        <f t="shared" si="19"/>
        <v>20829100.3014859</v>
      </c>
      <c r="R52" s="19">
        <f t="shared" si="20"/>
        <v>2379100.3014858998</v>
      </c>
      <c r="S52" s="20">
        <f t="shared" si="21"/>
        <v>0.12894852582579402</v>
      </c>
      <c r="T52" s="20">
        <f t="shared" si="22"/>
        <v>0.13</v>
      </c>
      <c r="U52" s="20">
        <f t="shared" si="23"/>
        <v>-1.0514741742059797E-3</v>
      </c>
      <c r="V52" s="21">
        <f t="shared" si="24"/>
        <v>4.4288998883652742</v>
      </c>
      <c r="W52" s="19">
        <f t="shared" si="25"/>
        <v>-3053558.0630833376</v>
      </c>
      <c r="X52" s="20">
        <f>IFERROR(NPV_IRR!L52,0)</f>
        <v>4.18403518828947E-2</v>
      </c>
      <c r="Y52" s="20">
        <f t="shared" si="26"/>
        <v>0.11</v>
      </c>
      <c r="Z52" s="17" t="str">
        <f>Raw_Data!O52</f>
        <v>On Hold</v>
      </c>
      <c r="AA52" s="17" t="str">
        <f>Raw_Data!P52</f>
        <v>Medium</v>
      </c>
      <c r="AB52" s="17" t="str">
        <f t="shared" si="27"/>
        <v>Watch</v>
      </c>
      <c r="AC52" s="17" t="str">
        <f t="shared" si="28"/>
        <v>Review / Restructure</v>
      </c>
      <c r="AD52" s="20">
        <f t="shared" si="29"/>
        <v>0.99812574685069966</v>
      </c>
      <c r="AE52" s="20">
        <f t="shared" si="30"/>
        <v>0.94567312355655408</v>
      </c>
      <c r="AF52" s="19">
        <f t="shared" si="31"/>
        <v>1470000</v>
      </c>
      <c r="AG52" s="22">
        <f t="shared" si="32"/>
        <v>58.322472076735416</v>
      </c>
      <c r="AH52" s="17" t="str">
        <f t="shared" si="33"/>
        <v>On Target</v>
      </c>
    </row>
    <row r="53" spans="1:34" ht="15" customHeight="1" x14ac:dyDescent="0.25">
      <c r="A53" s="17" t="str">
        <f>Raw_Data!A53</f>
        <v>INV-049</v>
      </c>
      <c r="B53" s="17" t="str">
        <f>Raw_Data!B53</f>
        <v>ERP Cloud Migration – North</v>
      </c>
      <c r="C53" s="17" t="str">
        <f>Raw_Data!C53</f>
        <v>Technology</v>
      </c>
      <c r="D53" s="17" t="str">
        <f>Raw_Data!D53</f>
        <v>HR</v>
      </c>
      <c r="E53" s="17" t="str">
        <f>Raw_Data!E53</f>
        <v>North</v>
      </c>
      <c r="F53" s="18">
        <f>Raw_Data!F53</f>
        <v>45461</v>
      </c>
      <c r="G53" s="18">
        <f>Raw_Data!G53</f>
        <v>46193</v>
      </c>
      <c r="H53" s="19">
        <f>Raw_Data!H53</f>
        <v>14500000</v>
      </c>
      <c r="I53" s="19">
        <f>Raw_Data!I53</f>
        <v>1970000</v>
      </c>
      <c r="J53" s="19">
        <f t="shared" si="17"/>
        <v>16470000</v>
      </c>
      <c r="K53" s="19">
        <f>Raw_Data!J53</f>
        <v>15790000</v>
      </c>
      <c r="L53" s="19">
        <f>Raw_Data!K53</f>
        <v>17683346.458453</v>
      </c>
      <c r="M53" s="19">
        <f>Raw_Data!L53</f>
        <v>17592369.661671098</v>
      </c>
      <c r="N53" s="19">
        <f>Raw_Data!M53</f>
        <v>2776944.6960769901</v>
      </c>
      <c r="O53" s="19">
        <f>Raw_Data!N53</f>
        <v>2585402.38025703</v>
      </c>
      <c r="P53" s="19">
        <f t="shared" si="18"/>
        <v>20460291.154529989</v>
      </c>
      <c r="Q53" s="19">
        <f t="shared" si="19"/>
        <v>20177772.041928127</v>
      </c>
      <c r="R53" s="19">
        <f t="shared" si="20"/>
        <v>3707772.0419281274</v>
      </c>
      <c r="S53" s="20">
        <f t="shared" si="21"/>
        <v>0.22512277121603688</v>
      </c>
      <c r="T53" s="20">
        <f t="shared" si="22"/>
        <v>0.2</v>
      </c>
      <c r="U53" s="20">
        <f t="shared" si="23"/>
        <v>2.5122771216036871E-2</v>
      </c>
      <c r="V53" s="21">
        <f t="shared" si="24"/>
        <v>4.0812236271121476</v>
      </c>
      <c r="W53" s="19">
        <f t="shared" si="25"/>
        <v>-1555006.497485416</v>
      </c>
      <c r="X53" s="20">
        <f>IFERROR(NPV_IRR!L53,0)</f>
        <v>7.1734679189317418E-2</v>
      </c>
      <c r="Y53" s="20">
        <f t="shared" si="26"/>
        <v>0.11</v>
      </c>
      <c r="Z53" s="17" t="str">
        <f>Raw_Data!O53</f>
        <v>Active</v>
      </c>
      <c r="AA53" s="17" t="str">
        <f>Raw_Data!P53</f>
        <v>Low</v>
      </c>
      <c r="AB53" s="17" t="str">
        <f t="shared" si="27"/>
        <v>Watch</v>
      </c>
      <c r="AC53" s="17" t="str">
        <f t="shared" si="28"/>
        <v>Review / Restructure</v>
      </c>
      <c r="AD53" s="20">
        <f t="shared" si="29"/>
        <v>0.99485522737477028</v>
      </c>
      <c r="AE53" s="20">
        <f t="shared" si="30"/>
        <v>0.93102407977711865</v>
      </c>
      <c r="AF53" s="19">
        <f t="shared" si="31"/>
        <v>680000</v>
      </c>
      <c r="AG53" s="22">
        <f t="shared" si="32"/>
        <v>62.054110021860609</v>
      </c>
      <c r="AH53" s="17" t="str">
        <f t="shared" si="33"/>
        <v>Above Target</v>
      </c>
    </row>
    <row r="54" spans="1:34" ht="15" customHeight="1" x14ac:dyDescent="0.25">
      <c r="A54" s="17" t="str">
        <f>Raw_Data!A54</f>
        <v>INV-050</v>
      </c>
      <c r="B54" s="17" t="str">
        <f>Raw_Data!B54</f>
        <v>Brand Repositioning – East</v>
      </c>
      <c r="C54" s="17" t="str">
        <f>Raw_Data!C54</f>
        <v>Marketing</v>
      </c>
      <c r="D54" s="17" t="str">
        <f>Raw_Data!D54</f>
        <v>Supply Chain</v>
      </c>
      <c r="E54" s="17" t="str">
        <f>Raw_Data!E54</f>
        <v>East</v>
      </c>
      <c r="F54" s="18">
        <f>Raw_Data!F54</f>
        <v>45471</v>
      </c>
      <c r="G54" s="18">
        <f>Raw_Data!G54</f>
        <v>45759</v>
      </c>
      <c r="H54" s="19">
        <f>Raw_Data!H54</f>
        <v>11380000</v>
      </c>
      <c r="I54" s="19">
        <f>Raw_Data!I54</f>
        <v>740000</v>
      </c>
      <c r="J54" s="19">
        <f t="shared" si="17"/>
        <v>12120000</v>
      </c>
      <c r="K54" s="19">
        <f>Raw_Data!J54</f>
        <v>12540000</v>
      </c>
      <c r="L54" s="19">
        <f>Raw_Data!K54</f>
        <v>13682910.991017099</v>
      </c>
      <c r="M54" s="19">
        <f>Raw_Data!L54</f>
        <v>12313680.8466591</v>
      </c>
      <c r="N54" s="19">
        <f>Raw_Data!M54</f>
        <v>538843.76596394996</v>
      </c>
      <c r="O54" s="19">
        <f>Raw_Data!N54</f>
        <v>428524.75658903702</v>
      </c>
      <c r="P54" s="19">
        <f t="shared" si="18"/>
        <v>14221754.756981049</v>
      </c>
      <c r="Q54" s="19">
        <f t="shared" si="19"/>
        <v>12742205.603248136</v>
      </c>
      <c r="R54" s="19">
        <f t="shared" si="20"/>
        <v>622205.60324813612</v>
      </c>
      <c r="S54" s="20">
        <f t="shared" si="21"/>
        <v>5.1337095977568983E-2</v>
      </c>
      <c r="T54" s="20">
        <f t="shared" si="22"/>
        <v>0.22</v>
      </c>
      <c r="U54" s="20">
        <f t="shared" si="23"/>
        <v>-0.168662904022431</v>
      </c>
      <c r="V54" s="21">
        <f t="shared" si="24"/>
        <v>4.7558485467031195</v>
      </c>
      <c r="W54" s="19">
        <f t="shared" si="25"/>
        <v>-2933440.0952047892</v>
      </c>
      <c r="X54" s="20">
        <f>IFERROR(NPV_IRR!L54,0)</f>
        <v>1.6923059334829071E-2</v>
      </c>
      <c r="Y54" s="20">
        <f t="shared" si="26"/>
        <v>0.12</v>
      </c>
      <c r="Z54" s="17" t="str">
        <f>Raw_Data!O54</f>
        <v>Completed</v>
      </c>
      <c r="AA54" s="17" t="str">
        <f>Raw_Data!P54</f>
        <v>High</v>
      </c>
      <c r="AB54" s="17" t="str">
        <f t="shared" si="27"/>
        <v>Underperforming</v>
      </c>
      <c r="AC54" s="17" t="str">
        <f t="shared" si="28"/>
        <v>Review / Restructure</v>
      </c>
      <c r="AD54" s="20">
        <f t="shared" si="29"/>
        <v>0.89993137094461062</v>
      </c>
      <c r="AE54" s="20">
        <f t="shared" si="30"/>
        <v>0.79526716955227139</v>
      </c>
      <c r="AF54" s="19">
        <f t="shared" si="31"/>
        <v>-420000</v>
      </c>
      <c r="AG54" s="22">
        <f t="shared" si="32"/>
        <v>44.147629892612699</v>
      </c>
      <c r="AH54" s="17" t="str">
        <f t="shared" si="33"/>
        <v>Significantly Below Target</v>
      </c>
    </row>
    <row r="55" spans="1:34" ht="15" customHeight="1" x14ac:dyDescent="0.25">
      <c r="A55" s="17" t="str">
        <f>Raw_Data!A55</f>
        <v>INV-051</v>
      </c>
      <c r="B55" s="17" t="str">
        <f>Raw_Data!B55</f>
        <v>Premium Product Line – Central</v>
      </c>
      <c r="C55" s="17" t="str">
        <f>Raw_Data!C55</f>
        <v>Product Development</v>
      </c>
      <c r="D55" s="17" t="str">
        <f>Raw_Data!D55</f>
        <v>Operations</v>
      </c>
      <c r="E55" s="17" t="str">
        <f>Raw_Data!E55</f>
        <v>Central</v>
      </c>
      <c r="F55" s="18">
        <f>Raw_Data!F55</f>
        <v>45487</v>
      </c>
      <c r="G55" s="18">
        <f>Raw_Data!G55</f>
        <v>46269</v>
      </c>
      <c r="H55" s="19">
        <f>Raw_Data!H55</f>
        <v>21310000</v>
      </c>
      <c r="I55" s="19">
        <f>Raw_Data!I55</f>
        <v>2250000</v>
      </c>
      <c r="J55" s="19">
        <f t="shared" si="17"/>
        <v>23560000</v>
      </c>
      <c r="K55" s="19">
        <f>Raw_Data!J55</f>
        <v>22910000</v>
      </c>
      <c r="L55" s="19">
        <f>Raw_Data!K55</f>
        <v>28967702.046781398</v>
      </c>
      <c r="M55" s="19">
        <f>Raw_Data!L55</f>
        <v>25973075.057066102</v>
      </c>
      <c r="N55" s="19">
        <f>Raw_Data!M55</f>
        <v>1055599.77424001</v>
      </c>
      <c r="O55" s="19">
        <f>Raw_Data!N55</f>
        <v>911194.66243721102</v>
      </c>
      <c r="P55" s="19">
        <f t="shared" si="18"/>
        <v>30023301.821021408</v>
      </c>
      <c r="Q55" s="19">
        <f t="shared" si="19"/>
        <v>26884269.719503313</v>
      </c>
      <c r="R55" s="19">
        <f t="shared" si="20"/>
        <v>3324269.7195033133</v>
      </c>
      <c r="S55" s="20">
        <f t="shared" si="21"/>
        <v>0.14109803563256848</v>
      </c>
      <c r="T55" s="20">
        <f t="shared" si="22"/>
        <v>0.24</v>
      </c>
      <c r="U55" s="20">
        <f t="shared" si="23"/>
        <v>-9.8901964367431511E-2</v>
      </c>
      <c r="V55" s="21">
        <f t="shared" si="24"/>
        <v>4.3817444635493104</v>
      </c>
      <c r="W55" s="19">
        <f t="shared" si="25"/>
        <v>-3687701.5444007777</v>
      </c>
      <c r="X55" s="20">
        <f>IFERROR(NPV_IRR!L55,0)</f>
        <v>4.5673938629395394E-2</v>
      </c>
      <c r="Y55" s="20">
        <f t="shared" si="26"/>
        <v>0.11</v>
      </c>
      <c r="Z55" s="17" t="str">
        <f>Raw_Data!O55</f>
        <v>Cancelled</v>
      </c>
      <c r="AA55" s="17" t="str">
        <f>Raw_Data!P55</f>
        <v>Medium</v>
      </c>
      <c r="AB55" s="17" t="str">
        <f t="shared" si="27"/>
        <v>Underperforming</v>
      </c>
      <c r="AC55" s="17" t="str">
        <f t="shared" si="28"/>
        <v>Review / Restructure</v>
      </c>
      <c r="AD55" s="20">
        <f t="shared" si="29"/>
        <v>0.89662186579801451</v>
      </c>
      <c r="AE55" s="20">
        <f t="shared" si="30"/>
        <v>0.86320088794376171</v>
      </c>
      <c r="AF55" s="19">
        <f t="shared" si="31"/>
        <v>650000</v>
      </c>
      <c r="AG55" s="22">
        <f t="shared" si="32"/>
        <v>50.325576939897836</v>
      </c>
      <c r="AH55" s="17" t="str">
        <f t="shared" si="33"/>
        <v>Significantly Below Target</v>
      </c>
    </row>
    <row r="56" spans="1:34" ht="15" customHeight="1" x14ac:dyDescent="0.25">
      <c r="A56" s="17" t="str">
        <f>Raw_Data!A56</f>
        <v>INV-052</v>
      </c>
      <c r="B56" s="17" t="str">
        <f>Raw_Data!B56</f>
        <v>Tier-2 City Expansion – South</v>
      </c>
      <c r="C56" s="17" t="str">
        <f>Raw_Data!C56</f>
        <v>Expansion</v>
      </c>
      <c r="D56" s="17" t="str">
        <f>Raw_Data!D56</f>
        <v>Finance</v>
      </c>
      <c r="E56" s="17" t="str">
        <f>Raw_Data!E56</f>
        <v>South</v>
      </c>
      <c r="F56" s="18">
        <f>Raw_Data!F56</f>
        <v>46070</v>
      </c>
      <c r="G56" s="18">
        <f>Raw_Data!G56</f>
        <v>46335</v>
      </c>
      <c r="H56" s="19">
        <f>Raw_Data!H56</f>
        <v>45240000</v>
      </c>
      <c r="I56" s="19">
        <f>Raw_Data!I56</f>
        <v>2000000</v>
      </c>
      <c r="J56" s="19">
        <f t="shared" si="17"/>
        <v>47240000</v>
      </c>
      <c r="K56" s="19">
        <f>Raw_Data!J56</f>
        <v>47560000</v>
      </c>
      <c r="L56" s="19">
        <f>Raw_Data!K56</f>
        <v>51332430.504945002</v>
      </c>
      <c r="M56" s="19">
        <f>Raw_Data!L56</f>
        <v>50393556.315263301</v>
      </c>
      <c r="N56" s="19">
        <f>Raw_Data!M56</f>
        <v>6392297.3239452904</v>
      </c>
      <c r="O56" s="19">
        <f>Raw_Data!N56</f>
        <v>5981874.4981169896</v>
      </c>
      <c r="P56" s="19">
        <f t="shared" si="18"/>
        <v>57724727.828890294</v>
      </c>
      <c r="Q56" s="19">
        <f t="shared" si="19"/>
        <v>56375430.813380294</v>
      </c>
      <c r="R56" s="19">
        <f t="shared" si="20"/>
        <v>9135430.8133802935</v>
      </c>
      <c r="S56" s="20">
        <f t="shared" si="21"/>
        <v>0.19338337877604347</v>
      </c>
      <c r="T56" s="20">
        <f t="shared" si="22"/>
        <v>0.18</v>
      </c>
      <c r="U56" s="20">
        <f t="shared" si="23"/>
        <v>1.3383378776043481E-2</v>
      </c>
      <c r="V56" s="21">
        <f t="shared" si="24"/>
        <v>4.1897684255734271</v>
      </c>
      <c r="W56" s="19">
        <f t="shared" si="25"/>
        <v>-3383846.862947613</v>
      </c>
      <c r="X56" s="20">
        <f>IFERROR(NPV_IRR!L56,0)</f>
        <v>6.1980212920259126E-2</v>
      </c>
      <c r="Y56" s="20">
        <f t="shared" si="26"/>
        <v>0.09</v>
      </c>
      <c r="Z56" s="17" t="str">
        <f>Raw_Data!O56</f>
        <v>On Hold</v>
      </c>
      <c r="AA56" s="17" t="str">
        <f>Raw_Data!P56</f>
        <v>Low</v>
      </c>
      <c r="AB56" s="17" t="str">
        <f t="shared" si="27"/>
        <v>Watch</v>
      </c>
      <c r="AC56" s="17" t="str">
        <f t="shared" si="28"/>
        <v>Review / Restructure</v>
      </c>
      <c r="AD56" s="20">
        <f t="shared" si="29"/>
        <v>0.98170992138018365</v>
      </c>
      <c r="AE56" s="20">
        <f t="shared" si="30"/>
        <v>0.93579415896521689</v>
      </c>
      <c r="AF56" s="19">
        <f t="shared" si="31"/>
        <v>-320000</v>
      </c>
      <c r="AG56" s="22">
        <f t="shared" si="32"/>
        <v>63.127756082103815</v>
      </c>
      <c r="AH56" s="17" t="str">
        <f t="shared" si="33"/>
        <v>On Target</v>
      </c>
    </row>
    <row r="57" spans="1:34" ht="15" customHeight="1" x14ac:dyDescent="0.25">
      <c r="A57" s="17" t="str">
        <f>Raw_Data!A57</f>
        <v>INV-053</v>
      </c>
      <c r="B57" s="17" t="str">
        <f>Raw_Data!B57</f>
        <v>Automated Packaging Line – West</v>
      </c>
      <c r="C57" s="17" t="str">
        <f>Raw_Data!C57</f>
        <v>Equipment</v>
      </c>
      <c r="D57" s="17" t="str">
        <f>Raw_Data!D57</f>
        <v>Sales</v>
      </c>
      <c r="E57" s="17" t="str">
        <f>Raw_Data!E57</f>
        <v>West</v>
      </c>
      <c r="F57" s="18">
        <f>Raw_Data!F57</f>
        <v>45654</v>
      </c>
      <c r="G57" s="18">
        <f>Raw_Data!G57</f>
        <v>46386</v>
      </c>
      <c r="H57" s="19">
        <f>Raw_Data!H57</f>
        <v>26170000</v>
      </c>
      <c r="I57" s="19">
        <f>Raw_Data!I57</f>
        <v>3890000</v>
      </c>
      <c r="J57" s="19">
        <f t="shared" si="17"/>
        <v>30060000</v>
      </c>
      <c r="K57" s="19">
        <f>Raw_Data!J57</f>
        <v>29880000</v>
      </c>
      <c r="L57" s="19">
        <f>Raw_Data!K57</f>
        <v>27143638.550695699</v>
      </c>
      <c r="M57" s="19">
        <f>Raw_Data!L57</f>
        <v>31239025.254588898</v>
      </c>
      <c r="N57" s="19">
        <f>Raw_Data!M57</f>
        <v>6087482.6932627596</v>
      </c>
      <c r="O57" s="19">
        <f>Raw_Data!N57</f>
        <v>4856777.95445571</v>
      </c>
      <c r="P57" s="19">
        <f t="shared" si="18"/>
        <v>33231121.243958458</v>
      </c>
      <c r="Q57" s="19">
        <f t="shared" si="19"/>
        <v>36095803.209044605</v>
      </c>
      <c r="R57" s="19">
        <f t="shared" si="20"/>
        <v>6035803.2090446055</v>
      </c>
      <c r="S57" s="20">
        <f t="shared" si="21"/>
        <v>0.20079185658831022</v>
      </c>
      <c r="T57" s="20">
        <f t="shared" si="22"/>
        <v>0.17</v>
      </c>
      <c r="U57" s="20">
        <f t="shared" si="23"/>
        <v>3.0791856588310212E-2</v>
      </c>
      <c r="V57" s="21">
        <f t="shared" si="24"/>
        <v>4.1639189777702184</v>
      </c>
      <c r="W57" s="19">
        <f t="shared" si="25"/>
        <v>-3378725.7140060104</v>
      </c>
      <c r="X57" s="20">
        <f>IFERROR(NPV_IRR!L57,0)</f>
        <v>6.4266499925562215E-2</v>
      </c>
      <c r="Y57" s="20">
        <f t="shared" si="26"/>
        <v>0.11</v>
      </c>
      <c r="Z57" s="17" t="str">
        <f>Raw_Data!O57</f>
        <v>Active</v>
      </c>
      <c r="AA57" s="17" t="str">
        <f>Raw_Data!P57</f>
        <v>High</v>
      </c>
      <c r="AB57" s="17" t="str">
        <f t="shared" si="27"/>
        <v>Watch</v>
      </c>
      <c r="AC57" s="17" t="str">
        <f t="shared" si="28"/>
        <v>Review / Restructure</v>
      </c>
      <c r="AD57" s="20">
        <f t="shared" si="29"/>
        <v>1.1508783244458667</v>
      </c>
      <c r="AE57" s="20">
        <f t="shared" si="30"/>
        <v>0.79783026896008824</v>
      </c>
      <c r="AF57" s="19">
        <f t="shared" si="31"/>
        <v>180000</v>
      </c>
      <c r="AG57" s="22">
        <f t="shared" si="32"/>
        <v>61.825114508914247</v>
      </c>
      <c r="AH57" s="17" t="str">
        <f t="shared" si="33"/>
        <v>Above Target</v>
      </c>
    </row>
    <row r="58" spans="1:34" ht="15" customHeight="1" x14ac:dyDescent="0.25">
      <c r="A58" s="17" t="str">
        <f>Raw_Data!A58</f>
        <v>INV-054</v>
      </c>
      <c r="B58" s="17" t="str">
        <f>Raw_Data!B58</f>
        <v>RPA Finance Rollout – North</v>
      </c>
      <c r="C58" s="17" t="str">
        <f>Raw_Data!C58</f>
        <v>Automation</v>
      </c>
      <c r="D58" s="17" t="str">
        <f>Raw_Data!D58</f>
        <v>IT</v>
      </c>
      <c r="E58" s="17" t="str">
        <f>Raw_Data!E58</f>
        <v>North</v>
      </c>
      <c r="F58" s="18">
        <f>Raw_Data!F58</f>
        <v>45830</v>
      </c>
      <c r="G58" s="18">
        <f>Raw_Data!G58</f>
        <v>46204</v>
      </c>
      <c r="H58" s="19">
        <f>Raw_Data!H58</f>
        <v>29720000</v>
      </c>
      <c r="I58" s="19">
        <f>Raw_Data!I58</f>
        <v>1850000</v>
      </c>
      <c r="J58" s="19">
        <f t="shared" si="17"/>
        <v>31570000</v>
      </c>
      <c r="K58" s="19">
        <f>Raw_Data!J58</f>
        <v>29580000</v>
      </c>
      <c r="L58" s="19">
        <f>Raw_Data!K58</f>
        <v>37086992.238732599</v>
      </c>
      <c r="M58" s="19">
        <f>Raw_Data!L58</f>
        <v>36090084.995033197</v>
      </c>
      <c r="N58" s="19">
        <f>Raw_Data!M58</f>
        <v>2837652.6263346202</v>
      </c>
      <c r="O58" s="19">
        <f>Raw_Data!N58</f>
        <v>2890359.0838095802</v>
      </c>
      <c r="P58" s="19">
        <f t="shared" si="18"/>
        <v>39924644.865067221</v>
      </c>
      <c r="Q58" s="19">
        <f t="shared" si="19"/>
        <v>38980444.078842774</v>
      </c>
      <c r="R58" s="19">
        <f t="shared" si="20"/>
        <v>7410444.078842774</v>
      </c>
      <c r="S58" s="20">
        <f t="shared" si="21"/>
        <v>0.23473056949137708</v>
      </c>
      <c r="T58" s="20">
        <f t="shared" si="22"/>
        <v>0.25</v>
      </c>
      <c r="U58" s="20">
        <f t="shared" si="23"/>
        <v>-1.5269430508622922E-2</v>
      </c>
      <c r="V58" s="21">
        <f t="shared" si="24"/>
        <v>4.0494664370864744</v>
      </c>
      <c r="W58" s="19">
        <f t="shared" si="25"/>
        <v>-2016689.6640513912</v>
      </c>
      <c r="X58" s="20">
        <f>IFERROR(NPV_IRR!L58,0)</f>
        <v>7.4666997455639095E-2</v>
      </c>
      <c r="Y58" s="20">
        <f t="shared" si="26"/>
        <v>0.1</v>
      </c>
      <c r="Z58" s="17" t="str">
        <f>Raw_Data!O58</f>
        <v>Completed</v>
      </c>
      <c r="AA58" s="17" t="str">
        <f>Raw_Data!P58</f>
        <v>Medium</v>
      </c>
      <c r="AB58" s="17" t="str">
        <f t="shared" si="27"/>
        <v>Watch</v>
      </c>
      <c r="AC58" s="17" t="str">
        <f t="shared" si="28"/>
        <v>Review / Restructure</v>
      </c>
      <c r="AD58" s="20">
        <f t="shared" si="29"/>
        <v>0.97311976023069724</v>
      </c>
      <c r="AE58" s="20">
        <f t="shared" si="30"/>
        <v>1.0185739639115168</v>
      </c>
      <c r="AF58" s="19">
        <f t="shared" si="31"/>
        <v>1990000</v>
      </c>
      <c r="AG58" s="22">
        <f t="shared" si="32"/>
        <v>58.076173177302735</v>
      </c>
      <c r="AH58" s="17" t="str">
        <f t="shared" si="33"/>
        <v>Below Target</v>
      </c>
    </row>
    <row r="59" spans="1:34" ht="15" customHeight="1" x14ac:dyDescent="0.25">
      <c r="A59" s="17" t="str">
        <f>Raw_Data!A59</f>
        <v>INV-055</v>
      </c>
      <c r="B59" s="17" t="str">
        <f>Raw_Data!B59</f>
        <v>Leadership Development – East</v>
      </c>
      <c r="C59" s="17" t="str">
        <f>Raw_Data!C59</f>
        <v>Training</v>
      </c>
      <c r="D59" s="17" t="str">
        <f>Raw_Data!D59</f>
        <v>Product</v>
      </c>
      <c r="E59" s="17" t="str">
        <f>Raw_Data!E59</f>
        <v>East</v>
      </c>
      <c r="F59" s="18">
        <f>Raw_Data!F59</f>
        <v>45719</v>
      </c>
      <c r="G59" s="18">
        <f>Raw_Data!G59</f>
        <v>46098</v>
      </c>
      <c r="H59" s="19">
        <f>Raw_Data!H59</f>
        <v>7480000</v>
      </c>
      <c r="I59" s="19">
        <f>Raw_Data!I59</f>
        <v>400000</v>
      </c>
      <c r="J59" s="19">
        <f t="shared" si="17"/>
        <v>7880000</v>
      </c>
      <c r="K59" s="19">
        <f>Raw_Data!J59</f>
        <v>8650000</v>
      </c>
      <c r="L59" s="19">
        <f>Raw_Data!K59</f>
        <v>8449310.5830074791</v>
      </c>
      <c r="M59" s="19">
        <f>Raw_Data!L59</f>
        <v>7052409.3594061499</v>
      </c>
      <c r="N59" s="19">
        <f>Raw_Data!M59</f>
        <v>635623.05155646196</v>
      </c>
      <c r="O59" s="19">
        <f>Raw_Data!N59</f>
        <v>697769.95222114003</v>
      </c>
      <c r="P59" s="19">
        <f t="shared" si="18"/>
        <v>9084933.6345639415</v>
      </c>
      <c r="Q59" s="19">
        <f t="shared" si="19"/>
        <v>7750179.3116272902</v>
      </c>
      <c r="R59" s="19">
        <f t="shared" si="20"/>
        <v>-129820.68837270979</v>
      </c>
      <c r="S59" s="20">
        <f t="shared" si="21"/>
        <v>-1.6474706646282967E-2</v>
      </c>
      <c r="T59" s="20">
        <f t="shared" si="22"/>
        <v>0.15</v>
      </c>
      <c r="U59" s="20">
        <f t="shared" si="23"/>
        <v>-0.16647470664628297</v>
      </c>
      <c r="V59" s="21">
        <f t="shared" si="24"/>
        <v>5.0837533450212851</v>
      </c>
      <c r="W59" s="19">
        <f t="shared" si="25"/>
        <v>-2004144.5609880397</v>
      </c>
      <c r="X59" s="20">
        <f>IFERROR(NPV_IRR!L59,0)</f>
        <v>-5.5118785074210752E-3</v>
      </c>
      <c r="Y59" s="20">
        <f t="shared" si="26"/>
        <v>0.1</v>
      </c>
      <c r="Z59" s="17" t="str">
        <f>Raw_Data!O59</f>
        <v>Cancelled</v>
      </c>
      <c r="AA59" s="17" t="str">
        <f>Raw_Data!P59</f>
        <v>Low</v>
      </c>
      <c r="AB59" s="17" t="str">
        <f t="shared" si="27"/>
        <v>Underperforming</v>
      </c>
      <c r="AC59" s="17" t="str">
        <f t="shared" si="28"/>
        <v>Review / Restructure</v>
      </c>
      <c r="AD59" s="20">
        <f t="shared" si="29"/>
        <v>0.83467275704000565</v>
      </c>
      <c r="AE59" s="20">
        <f t="shared" si="30"/>
        <v>1.0977732014477728</v>
      </c>
      <c r="AF59" s="19">
        <f t="shared" si="31"/>
        <v>-770000</v>
      </c>
      <c r="AG59" s="22">
        <f t="shared" si="32"/>
        <v>46.482644295134392</v>
      </c>
      <c r="AH59" s="17" t="str">
        <f t="shared" si="33"/>
        <v>Significantly Below Target</v>
      </c>
    </row>
    <row r="60" spans="1:34" ht="15" customHeight="1" x14ac:dyDescent="0.25">
      <c r="A60" s="17" t="str">
        <f>Raw_Data!A60</f>
        <v>INV-056</v>
      </c>
      <c r="B60" s="17" t="str">
        <f>Raw_Data!B60</f>
        <v>Plant Utility Upgrade – Central</v>
      </c>
      <c r="C60" s="17" t="str">
        <f>Raw_Data!C60</f>
        <v>Infrastructure</v>
      </c>
      <c r="D60" s="17" t="str">
        <f>Raw_Data!D60</f>
        <v>Marketing</v>
      </c>
      <c r="E60" s="17" t="str">
        <f>Raw_Data!E60</f>
        <v>Central</v>
      </c>
      <c r="F60" s="18">
        <f>Raw_Data!F60</f>
        <v>45900</v>
      </c>
      <c r="G60" s="18">
        <f>Raw_Data!G60</f>
        <v>46261</v>
      </c>
      <c r="H60" s="19">
        <f>Raw_Data!H60</f>
        <v>51650000</v>
      </c>
      <c r="I60" s="19">
        <f>Raw_Data!I60</f>
        <v>7690000</v>
      </c>
      <c r="J60" s="19">
        <f t="shared" si="17"/>
        <v>59340000</v>
      </c>
      <c r="K60" s="19">
        <f>Raw_Data!J60</f>
        <v>58430000</v>
      </c>
      <c r="L60" s="19">
        <f>Raw_Data!K60</f>
        <v>60673591.685002796</v>
      </c>
      <c r="M60" s="19">
        <f>Raw_Data!L60</f>
        <v>54409821.948665403</v>
      </c>
      <c r="N60" s="19">
        <f>Raw_Data!M60</f>
        <v>5990569.5717143798</v>
      </c>
      <c r="O60" s="19">
        <f>Raw_Data!N60</f>
        <v>4747240.33542562</v>
      </c>
      <c r="P60" s="19">
        <f t="shared" si="18"/>
        <v>66664161.256717175</v>
      </c>
      <c r="Q60" s="19">
        <f t="shared" si="19"/>
        <v>59157062.284091026</v>
      </c>
      <c r="R60" s="19">
        <f t="shared" si="20"/>
        <v>-182937.71590897441</v>
      </c>
      <c r="S60" s="20">
        <f t="shared" si="21"/>
        <v>-3.0828735407646512E-3</v>
      </c>
      <c r="T60" s="20">
        <f t="shared" si="22"/>
        <v>0.13</v>
      </c>
      <c r="U60" s="20">
        <f t="shared" si="23"/>
        <v>-0.13308287354076465</v>
      </c>
      <c r="V60" s="21">
        <f t="shared" si="24"/>
        <v>5.0154620352030372</v>
      </c>
      <c r="W60" s="19">
        <f t="shared" si="25"/>
        <v>-16690405.935533501</v>
      </c>
      <c r="X60" s="20">
        <f>IFERROR(NPV_IRR!L60,0)</f>
        <v>-1.0283298508414473E-3</v>
      </c>
      <c r="Y60" s="20">
        <f t="shared" si="26"/>
        <v>0.12</v>
      </c>
      <c r="Z60" s="17" t="str">
        <f>Raw_Data!O60</f>
        <v>On Hold</v>
      </c>
      <c r="AA60" s="17" t="str">
        <f>Raw_Data!P60</f>
        <v>High</v>
      </c>
      <c r="AB60" s="17" t="str">
        <f t="shared" si="27"/>
        <v>Underperforming</v>
      </c>
      <c r="AC60" s="17" t="str">
        <f t="shared" si="28"/>
        <v>Review / Restructure</v>
      </c>
      <c r="AD60" s="20">
        <f t="shared" si="29"/>
        <v>0.89676283268581147</v>
      </c>
      <c r="AE60" s="20">
        <f t="shared" si="30"/>
        <v>0.79245224992304963</v>
      </c>
      <c r="AF60" s="19">
        <f t="shared" si="31"/>
        <v>910000</v>
      </c>
      <c r="AG60" s="22">
        <f t="shared" si="32"/>
        <v>46.509951638021157</v>
      </c>
      <c r="AH60" s="17" t="str">
        <f t="shared" si="33"/>
        <v>Significantly Below Target</v>
      </c>
    </row>
    <row r="61" spans="1:34" ht="15" customHeight="1" x14ac:dyDescent="0.25">
      <c r="A61" s="17" t="str">
        <f>Raw_Data!A61</f>
        <v>INV-057</v>
      </c>
      <c r="B61" s="17" t="str">
        <f>Raw_Data!B61</f>
        <v>ERP Cloud Migration – South</v>
      </c>
      <c r="C61" s="17" t="str">
        <f>Raw_Data!C61</f>
        <v>Technology</v>
      </c>
      <c r="D61" s="17" t="str">
        <f>Raw_Data!D61</f>
        <v>HR</v>
      </c>
      <c r="E61" s="17" t="str">
        <f>Raw_Data!E61</f>
        <v>South</v>
      </c>
      <c r="F61" s="18">
        <f>Raw_Data!F61</f>
        <v>45838</v>
      </c>
      <c r="G61" s="18">
        <f>Raw_Data!G61</f>
        <v>46374</v>
      </c>
      <c r="H61" s="19">
        <f>Raw_Data!H61</f>
        <v>13130000</v>
      </c>
      <c r="I61" s="19">
        <f>Raw_Data!I61</f>
        <v>820000</v>
      </c>
      <c r="J61" s="19">
        <f t="shared" si="17"/>
        <v>13950000</v>
      </c>
      <c r="K61" s="19">
        <f>Raw_Data!J61</f>
        <v>13070000</v>
      </c>
      <c r="L61" s="19">
        <f>Raw_Data!K61</f>
        <v>16124362.5207207</v>
      </c>
      <c r="M61" s="19">
        <f>Raw_Data!L61</f>
        <v>15642963.417820999</v>
      </c>
      <c r="N61" s="19">
        <f>Raw_Data!M61</f>
        <v>836118.77339638397</v>
      </c>
      <c r="O61" s="19">
        <f>Raw_Data!N61</f>
        <v>832361.89179492299</v>
      </c>
      <c r="P61" s="19">
        <f t="shared" si="18"/>
        <v>16960481.294117086</v>
      </c>
      <c r="Q61" s="19">
        <f t="shared" si="19"/>
        <v>16475325.309615923</v>
      </c>
      <c r="R61" s="19">
        <f t="shared" si="20"/>
        <v>2525325.3096159231</v>
      </c>
      <c r="S61" s="20">
        <f t="shared" si="21"/>
        <v>0.18102690391511994</v>
      </c>
      <c r="T61" s="20">
        <f t="shared" si="22"/>
        <v>0.2</v>
      </c>
      <c r="U61" s="20">
        <f t="shared" si="23"/>
        <v>-1.897309608488007E-2</v>
      </c>
      <c r="V61" s="21">
        <f t="shared" si="24"/>
        <v>4.2336038098919966</v>
      </c>
      <c r="W61" s="19">
        <f t="shared" si="25"/>
        <v>-1459110.9589215666</v>
      </c>
      <c r="X61" s="20">
        <f>IFERROR(NPV_IRR!L61,0)</f>
        <v>5.8153868814631693E-2</v>
      </c>
      <c r="Y61" s="20">
        <f t="shared" si="26"/>
        <v>0.1</v>
      </c>
      <c r="Z61" s="17" t="str">
        <f>Raw_Data!O61</f>
        <v>Active</v>
      </c>
      <c r="AA61" s="17" t="str">
        <f>Raw_Data!P61</f>
        <v>Medium</v>
      </c>
      <c r="AB61" s="17" t="str">
        <f t="shared" si="27"/>
        <v>Watch</v>
      </c>
      <c r="AC61" s="17" t="str">
        <f t="shared" si="28"/>
        <v>Review / Restructure</v>
      </c>
      <c r="AD61" s="20">
        <f t="shared" si="29"/>
        <v>0.97014461177729816</v>
      </c>
      <c r="AE61" s="20">
        <f t="shared" si="30"/>
        <v>0.99550676085623557</v>
      </c>
      <c r="AF61" s="19">
        <f t="shared" si="31"/>
        <v>880000</v>
      </c>
      <c r="AG61" s="22">
        <f t="shared" si="32"/>
        <v>57.758468805489684</v>
      </c>
      <c r="AH61" s="17" t="str">
        <f t="shared" si="33"/>
        <v>Below Target</v>
      </c>
    </row>
    <row r="62" spans="1:34" ht="15" customHeight="1" x14ac:dyDescent="0.25">
      <c r="A62" s="17" t="str">
        <f>Raw_Data!A62</f>
        <v>INV-058</v>
      </c>
      <c r="B62" s="17" t="str">
        <f>Raw_Data!B62</f>
        <v>Brand Repositioning – West</v>
      </c>
      <c r="C62" s="17" t="str">
        <f>Raw_Data!C62</f>
        <v>Marketing</v>
      </c>
      <c r="D62" s="17" t="str">
        <f>Raw_Data!D62</f>
        <v>Supply Chain</v>
      </c>
      <c r="E62" s="17" t="str">
        <f>Raw_Data!E62</f>
        <v>West</v>
      </c>
      <c r="F62" s="18">
        <f>Raw_Data!F62</f>
        <v>45825</v>
      </c>
      <c r="G62" s="18">
        <f>Raw_Data!G62</f>
        <v>46356</v>
      </c>
      <c r="H62" s="19">
        <f>Raw_Data!H62</f>
        <v>5200000</v>
      </c>
      <c r="I62" s="19">
        <f>Raw_Data!I62</f>
        <v>730000</v>
      </c>
      <c r="J62" s="19">
        <f t="shared" si="17"/>
        <v>5930000</v>
      </c>
      <c r="K62" s="19">
        <f>Raw_Data!J62</f>
        <v>5830000</v>
      </c>
      <c r="L62" s="19">
        <f>Raw_Data!K62</f>
        <v>6691160.2936565299</v>
      </c>
      <c r="M62" s="19">
        <f>Raw_Data!L62</f>
        <v>6148051.97764167</v>
      </c>
      <c r="N62" s="19">
        <f>Raw_Data!M62</f>
        <v>770886.15860007703</v>
      </c>
      <c r="O62" s="19">
        <f>Raw_Data!N62</f>
        <v>655660.67891072296</v>
      </c>
      <c r="P62" s="19">
        <f t="shared" si="18"/>
        <v>7462046.4522566069</v>
      </c>
      <c r="Q62" s="19">
        <f t="shared" si="19"/>
        <v>6803712.656552393</v>
      </c>
      <c r="R62" s="19">
        <f t="shared" si="20"/>
        <v>873712.65655239299</v>
      </c>
      <c r="S62" s="20">
        <f t="shared" si="21"/>
        <v>0.14733771611338836</v>
      </c>
      <c r="T62" s="20">
        <f t="shared" si="22"/>
        <v>0.22</v>
      </c>
      <c r="U62" s="20">
        <f t="shared" si="23"/>
        <v>-7.2662283886611639E-2</v>
      </c>
      <c r="V62" s="21">
        <f t="shared" si="24"/>
        <v>4.3579147881039964</v>
      </c>
      <c r="W62" s="19">
        <f t="shared" si="25"/>
        <v>-771715.21573687717</v>
      </c>
      <c r="X62" s="20">
        <f>IFERROR(NPV_IRR!L62,0)</f>
        <v>4.7636086314546855E-2</v>
      </c>
      <c r="Y62" s="20">
        <f t="shared" si="26"/>
        <v>0.1</v>
      </c>
      <c r="Z62" s="17" t="str">
        <f>Raw_Data!O62</f>
        <v>Completed</v>
      </c>
      <c r="AA62" s="17" t="str">
        <f>Raw_Data!P62</f>
        <v>Low</v>
      </c>
      <c r="AB62" s="17" t="str">
        <f t="shared" si="27"/>
        <v>Watch</v>
      </c>
      <c r="AC62" s="17" t="str">
        <f t="shared" si="28"/>
        <v>Review / Restructure</v>
      </c>
      <c r="AD62" s="20">
        <f t="shared" si="29"/>
        <v>0.91883196752441476</v>
      </c>
      <c r="AE62" s="20">
        <f t="shared" si="30"/>
        <v>0.85052853990970256</v>
      </c>
      <c r="AF62" s="19">
        <f t="shared" si="31"/>
        <v>100000</v>
      </c>
      <c r="AG62" s="22">
        <f t="shared" si="32"/>
        <v>53.892351544322118</v>
      </c>
      <c r="AH62" s="17" t="str">
        <f t="shared" si="33"/>
        <v>Significantly Below Target</v>
      </c>
    </row>
    <row r="63" spans="1:34" ht="15" customHeight="1" x14ac:dyDescent="0.25">
      <c r="A63" s="17" t="str">
        <f>Raw_Data!A63</f>
        <v>INV-059</v>
      </c>
      <c r="B63" s="17" t="str">
        <f>Raw_Data!B63</f>
        <v>Premium Product Line – North</v>
      </c>
      <c r="C63" s="17" t="str">
        <f>Raw_Data!C63</f>
        <v>Product Development</v>
      </c>
      <c r="D63" s="17" t="str">
        <f>Raw_Data!D63</f>
        <v>Operations</v>
      </c>
      <c r="E63" s="17" t="str">
        <f>Raw_Data!E63</f>
        <v>North</v>
      </c>
      <c r="F63" s="18">
        <f>Raw_Data!F63</f>
        <v>45844</v>
      </c>
      <c r="G63" s="18">
        <f>Raw_Data!G63</f>
        <v>46676</v>
      </c>
      <c r="H63" s="19">
        <f>Raw_Data!H63</f>
        <v>20700000</v>
      </c>
      <c r="I63" s="19">
        <f>Raw_Data!I63</f>
        <v>3380000</v>
      </c>
      <c r="J63" s="19">
        <f t="shared" si="17"/>
        <v>24080000</v>
      </c>
      <c r="K63" s="19">
        <f>Raw_Data!J63</f>
        <v>22700000</v>
      </c>
      <c r="L63" s="19">
        <f>Raw_Data!K63</f>
        <v>27407505.675147101</v>
      </c>
      <c r="M63" s="19">
        <f>Raw_Data!L63</f>
        <v>21239641.370406002</v>
      </c>
      <c r="N63" s="19">
        <f>Raw_Data!M63</f>
        <v>1770512.29148046</v>
      </c>
      <c r="O63" s="19">
        <f>Raw_Data!N63</f>
        <v>1668680.32790958</v>
      </c>
      <c r="P63" s="19">
        <f t="shared" si="18"/>
        <v>29178017.966627561</v>
      </c>
      <c r="Q63" s="19">
        <f t="shared" si="19"/>
        <v>22908321.698315583</v>
      </c>
      <c r="R63" s="19">
        <f t="shared" si="20"/>
        <v>-1171678.3016844168</v>
      </c>
      <c r="S63" s="20">
        <f t="shared" si="21"/>
        <v>-4.8657736780914319E-2</v>
      </c>
      <c r="T63" s="20">
        <f t="shared" si="22"/>
        <v>0.24</v>
      </c>
      <c r="U63" s="20">
        <f t="shared" si="23"/>
        <v>-0.28865773678091433</v>
      </c>
      <c r="V63" s="21">
        <f t="shared" si="24"/>
        <v>5.2557320254871769</v>
      </c>
      <c r="W63" s="19">
        <f t="shared" si="25"/>
        <v>-7146640.4311681874</v>
      </c>
      <c r="X63" s="20">
        <f>IFERROR(NPV_IRR!L63,0)</f>
        <v>-1.6400017826666113E-2</v>
      </c>
      <c r="Y63" s="20">
        <f t="shared" si="26"/>
        <v>0.11</v>
      </c>
      <c r="Z63" s="17" t="str">
        <f>Raw_Data!O63</f>
        <v>Cancelled</v>
      </c>
      <c r="AA63" s="17" t="str">
        <f>Raw_Data!P63</f>
        <v>High</v>
      </c>
      <c r="AB63" s="17" t="str">
        <f t="shared" si="27"/>
        <v>Underperforming</v>
      </c>
      <c r="AC63" s="17" t="str">
        <f t="shared" si="28"/>
        <v>Review / Restructure</v>
      </c>
      <c r="AD63" s="20">
        <f t="shared" si="29"/>
        <v>0.77495710927338901</v>
      </c>
      <c r="AE63" s="20">
        <f t="shared" si="30"/>
        <v>0.94248446392556218</v>
      </c>
      <c r="AF63" s="19">
        <f t="shared" si="31"/>
        <v>1380000</v>
      </c>
      <c r="AG63" s="22">
        <f t="shared" si="32"/>
        <v>36.958751556897049</v>
      </c>
      <c r="AH63" s="17" t="str">
        <f t="shared" si="33"/>
        <v>Significantly Below Target</v>
      </c>
    </row>
    <row r="64" spans="1:34" ht="15" customHeight="1" x14ac:dyDescent="0.25">
      <c r="A64" s="17" t="str">
        <f>Raw_Data!A64</f>
        <v>INV-060</v>
      </c>
      <c r="B64" s="17" t="str">
        <f>Raw_Data!B64</f>
        <v>Tier-2 City Expansion – East</v>
      </c>
      <c r="C64" s="17" t="str">
        <f>Raw_Data!C64</f>
        <v>Expansion</v>
      </c>
      <c r="D64" s="17" t="str">
        <f>Raw_Data!D64</f>
        <v>Finance</v>
      </c>
      <c r="E64" s="17" t="str">
        <f>Raw_Data!E64</f>
        <v>East</v>
      </c>
      <c r="F64" s="18">
        <f>Raw_Data!F64</f>
        <v>46010</v>
      </c>
      <c r="G64" s="18">
        <f>Raw_Data!G64</f>
        <v>46335</v>
      </c>
      <c r="H64" s="19">
        <f>Raw_Data!H64</f>
        <v>37370000</v>
      </c>
      <c r="I64" s="19">
        <f>Raw_Data!I64</f>
        <v>4080000</v>
      </c>
      <c r="J64" s="19">
        <f t="shared" si="17"/>
        <v>41450000</v>
      </c>
      <c r="K64" s="19">
        <f>Raw_Data!J64</f>
        <v>42120000</v>
      </c>
      <c r="L64" s="19">
        <f>Raw_Data!K64</f>
        <v>38702527.203932799</v>
      </c>
      <c r="M64" s="19">
        <f>Raw_Data!L64</f>
        <v>35532334.193548903</v>
      </c>
      <c r="N64" s="19">
        <f>Raw_Data!M64</f>
        <v>8908491.9747756906</v>
      </c>
      <c r="O64" s="19">
        <f>Raw_Data!N64</f>
        <v>10226031.317083299</v>
      </c>
      <c r="P64" s="19">
        <f t="shared" si="18"/>
        <v>47611019.178708494</v>
      </c>
      <c r="Q64" s="19">
        <f t="shared" si="19"/>
        <v>45758365.510632202</v>
      </c>
      <c r="R64" s="19">
        <f t="shared" si="20"/>
        <v>4308365.510632202</v>
      </c>
      <c r="S64" s="20">
        <f t="shared" si="21"/>
        <v>0.10394126684275518</v>
      </c>
      <c r="T64" s="20">
        <f t="shared" si="22"/>
        <v>0.18</v>
      </c>
      <c r="U64" s="20">
        <f t="shared" si="23"/>
        <v>-7.6058733157244818E-2</v>
      </c>
      <c r="V64" s="21">
        <f t="shared" si="24"/>
        <v>4.5292264635598567</v>
      </c>
      <c r="W64" s="19">
        <f t="shared" si="25"/>
        <v>-5853183.1565319672</v>
      </c>
      <c r="X64" s="20">
        <f>IFERROR(NPV_IRR!L64,0)</f>
        <v>3.3894264033722754E-2</v>
      </c>
      <c r="Y64" s="20">
        <f t="shared" si="26"/>
        <v>0.09</v>
      </c>
      <c r="Z64" s="17" t="str">
        <f>Raw_Data!O64</f>
        <v>On Hold</v>
      </c>
      <c r="AA64" s="17" t="str">
        <f>Raw_Data!P64</f>
        <v>Medium</v>
      </c>
      <c r="AB64" s="17" t="str">
        <f t="shared" si="27"/>
        <v>Watch</v>
      </c>
      <c r="AC64" s="17" t="str">
        <f t="shared" si="28"/>
        <v>Review / Restructure</v>
      </c>
      <c r="AD64" s="20">
        <f t="shared" si="29"/>
        <v>0.91808821698698384</v>
      </c>
      <c r="AE64" s="20">
        <f t="shared" si="30"/>
        <v>1.1478970117544258</v>
      </c>
      <c r="AF64" s="19">
        <f t="shared" si="31"/>
        <v>-670000</v>
      </c>
      <c r="AG64" s="22">
        <f t="shared" si="32"/>
        <v>54.91210920850169</v>
      </c>
      <c r="AH64" s="17" t="str">
        <f t="shared" si="33"/>
        <v>Significantly Below Target</v>
      </c>
    </row>
    <row r="65" spans="1:34" ht="15" customHeight="1" x14ac:dyDescent="0.25">
      <c r="A65" s="17" t="str">
        <f>Raw_Data!A65</f>
        <v>INV-061</v>
      </c>
      <c r="B65" s="17" t="str">
        <f>Raw_Data!B65</f>
        <v>Automated Packaging Line – Central</v>
      </c>
      <c r="C65" s="17" t="str">
        <f>Raw_Data!C65</f>
        <v>Equipment</v>
      </c>
      <c r="D65" s="17" t="str">
        <f>Raw_Data!D65</f>
        <v>Sales</v>
      </c>
      <c r="E65" s="17" t="str">
        <f>Raw_Data!E65</f>
        <v>Central</v>
      </c>
      <c r="F65" s="18">
        <f>Raw_Data!F65</f>
        <v>45986</v>
      </c>
      <c r="G65" s="18">
        <f>Raw_Data!G65</f>
        <v>46272</v>
      </c>
      <c r="H65" s="19">
        <f>Raw_Data!H65</f>
        <v>39190000</v>
      </c>
      <c r="I65" s="19">
        <f>Raw_Data!I65</f>
        <v>4600000</v>
      </c>
      <c r="J65" s="19">
        <f t="shared" si="17"/>
        <v>43790000</v>
      </c>
      <c r="K65" s="19">
        <f>Raw_Data!J65</f>
        <v>44050000</v>
      </c>
      <c r="L65" s="19">
        <f>Raw_Data!K65</f>
        <v>50541039.988810897</v>
      </c>
      <c r="M65" s="19">
        <f>Raw_Data!L65</f>
        <v>48682540.582922801</v>
      </c>
      <c r="N65" s="19">
        <f>Raw_Data!M65</f>
        <v>3139493.2286200901</v>
      </c>
      <c r="O65" s="19">
        <f>Raw_Data!N65</f>
        <v>3475014.2398667401</v>
      </c>
      <c r="P65" s="19">
        <f t="shared" si="18"/>
        <v>53680533.217430986</v>
      </c>
      <c r="Q65" s="19">
        <f t="shared" si="19"/>
        <v>52157554.822789542</v>
      </c>
      <c r="R65" s="19">
        <f t="shared" si="20"/>
        <v>8367554.8227895424</v>
      </c>
      <c r="S65" s="20">
        <f t="shared" si="21"/>
        <v>0.19108369086068833</v>
      </c>
      <c r="T65" s="20">
        <f t="shared" si="22"/>
        <v>0.17</v>
      </c>
      <c r="U65" s="20">
        <f t="shared" si="23"/>
        <v>2.1083690860688314E-2</v>
      </c>
      <c r="V65" s="21">
        <f t="shared" si="24"/>
        <v>4.1978578317926196</v>
      </c>
      <c r="W65" s="19">
        <f t="shared" si="25"/>
        <v>-4246366.2506147325</v>
      </c>
      <c r="X65" s="20">
        <f>IFERROR(NPV_IRR!L65,0)</f>
        <v>6.1269329820619722E-2</v>
      </c>
      <c r="Y65" s="20">
        <f t="shared" si="26"/>
        <v>0.1</v>
      </c>
      <c r="Z65" s="17" t="str">
        <f>Raw_Data!O65</f>
        <v>Active</v>
      </c>
      <c r="AA65" s="17" t="str">
        <f>Raw_Data!P65</f>
        <v>Low</v>
      </c>
      <c r="AB65" s="17" t="str">
        <f t="shared" si="27"/>
        <v>Watch</v>
      </c>
      <c r="AC65" s="17" t="str">
        <f t="shared" si="28"/>
        <v>Review / Restructure</v>
      </c>
      <c r="AD65" s="20">
        <f t="shared" si="29"/>
        <v>0.96322791524868623</v>
      </c>
      <c r="AE65" s="20">
        <f t="shared" si="30"/>
        <v>1.106871073391078</v>
      </c>
      <c r="AF65" s="19">
        <f t="shared" si="31"/>
        <v>-260000</v>
      </c>
      <c r="AG65" s="22">
        <f t="shared" si="32"/>
        <v>63.499699954990042</v>
      </c>
      <c r="AH65" s="17" t="str">
        <f t="shared" si="33"/>
        <v>Above Target</v>
      </c>
    </row>
    <row r="66" spans="1:34" ht="15" customHeight="1" x14ac:dyDescent="0.25">
      <c r="A66" s="17" t="str">
        <f>Raw_Data!A66</f>
        <v>INV-062</v>
      </c>
      <c r="B66" s="17" t="str">
        <f>Raw_Data!B66</f>
        <v>RPA Finance Rollout – South</v>
      </c>
      <c r="C66" s="17" t="str">
        <f>Raw_Data!C66</f>
        <v>Automation</v>
      </c>
      <c r="D66" s="17" t="str">
        <f>Raw_Data!D66</f>
        <v>IT</v>
      </c>
      <c r="E66" s="17" t="str">
        <f>Raw_Data!E66</f>
        <v>South</v>
      </c>
      <c r="F66" s="18">
        <f>Raw_Data!F66</f>
        <v>45793</v>
      </c>
      <c r="G66" s="18">
        <f>Raw_Data!G66</f>
        <v>46182</v>
      </c>
      <c r="H66" s="19">
        <f>Raw_Data!H66</f>
        <v>11510000</v>
      </c>
      <c r="I66" s="19">
        <f>Raw_Data!I66</f>
        <v>1960000</v>
      </c>
      <c r="J66" s="19">
        <f t="shared" si="17"/>
        <v>13470000</v>
      </c>
      <c r="K66" s="19">
        <f>Raw_Data!J66</f>
        <v>13220000</v>
      </c>
      <c r="L66" s="19">
        <f>Raw_Data!K66</f>
        <v>14919546.801332699</v>
      </c>
      <c r="M66" s="19">
        <f>Raw_Data!L66</f>
        <v>14103170.193615001</v>
      </c>
      <c r="N66" s="19">
        <f>Raw_Data!M66</f>
        <v>1684851.27165277</v>
      </c>
      <c r="O66" s="19">
        <f>Raw_Data!N66</f>
        <v>1619125.7685338999</v>
      </c>
      <c r="P66" s="19">
        <f t="shared" si="18"/>
        <v>16604398.072985468</v>
      </c>
      <c r="Q66" s="19">
        <f t="shared" si="19"/>
        <v>15722295.962148901</v>
      </c>
      <c r="R66" s="19">
        <f t="shared" si="20"/>
        <v>2252295.9621489011</v>
      </c>
      <c r="S66" s="20">
        <f t="shared" si="21"/>
        <v>0.16720831196354127</v>
      </c>
      <c r="T66" s="20">
        <f t="shared" si="22"/>
        <v>0.25</v>
      </c>
      <c r="U66" s="20">
        <f t="shared" si="23"/>
        <v>-8.2791688036458727E-2</v>
      </c>
      <c r="V66" s="21">
        <f t="shared" si="24"/>
        <v>4.2837254916294487</v>
      </c>
      <c r="W66" s="19">
        <f t="shared" si="25"/>
        <v>-2134928.3338841386</v>
      </c>
      <c r="X66" s="20">
        <f>IFERROR(NPV_IRR!L66,0)</f>
        <v>5.3855038500927321E-2</v>
      </c>
      <c r="Y66" s="20">
        <f t="shared" si="26"/>
        <v>0.12</v>
      </c>
      <c r="Z66" s="17" t="str">
        <f>Raw_Data!O66</f>
        <v>Completed</v>
      </c>
      <c r="AA66" s="17" t="str">
        <f>Raw_Data!P66</f>
        <v>High</v>
      </c>
      <c r="AB66" s="17" t="str">
        <f t="shared" si="27"/>
        <v>Watch</v>
      </c>
      <c r="AC66" s="17" t="str">
        <f t="shared" si="28"/>
        <v>Review / Restructure</v>
      </c>
      <c r="AD66" s="20">
        <f t="shared" si="29"/>
        <v>0.94528140709711272</v>
      </c>
      <c r="AE66" s="20">
        <f t="shared" si="30"/>
        <v>0.96099032346374647</v>
      </c>
      <c r="AF66" s="19">
        <f t="shared" si="31"/>
        <v>250000</v>
      </c>
      <c r="AG66" s="22">
        <f t="shared" si="32"/>
        <v>52.099158280604172</v>
      </c>
      <c r="AH66" s="17" t="str">
        <f t="shared" si="33"/>
        <v>Significantly Below Target</v>
      </c>
    </row>
    <row r="67" spans="1:34" ht="15" customHeight="1" x14ac:dyDescent="0.25">
      <c r="A67" s="17" t="str">
        <f>Raw_Data!A67</f>
        <v>INV-063</v>
      </c>
      <c r="B67" s="17" t="str">
        <f>Raw_Data!B67</f>
        <v>Leadership Development – West</v>
      </c>
      <c r="C67" s="17" t="str">
        <f>Raw_Data!C67</f>
        <v>Training</v>
      </c>
      <c r="D67" s="17" t="str">
        <f>Raw_Data!D67</f>
        <v>Product</v>
      </c>
      <c r="E67" s="17" t="str">
        <f>Raw_Data!E67</f>
        <v>West</v>
      </c>
      <c r="F67" s="18">
        <f>Raw_Data!F67</f>
        <v>45466</v>
      </c>
      <c r="G67" s="18">
        <f>Raw_Data!G67</f>
        <v>45668</v>
      </c>
      <c r="H67" s="19">
        <f>Raw_Data!H67</f>
        <v>7400000</v>
      </c>
      <c r="I67" s="19">
        <f>Raw_Data!I67</f>
        <v>550000</v>
      </c>
      <c r="J67" s="19">
        <f t="shared" si="17"/>
        <v>7950000</v>
      </c>
      <c r="K67" s="19">
        <f>Raw_Data!J67</f>
        <v>8680000</v>
      </c>
      <c r="L67" s="19">
        <f>Raw_Data!K67</f>
        <v>7627904.7940953998</v>
      </c>
      <c r="M67" s="19">
        <f>Raw_Data!L67</f>
        <v>6430466.1638751198</v>
      </c>
      <c r="N67" s="19">
        <f>Raw_Data!M67</f>
        <v>1396071.1146508099</v>
      </c>
      <c r="O67" s="19">
        <f>Raw_Data!N67</f>
        <v>1261477.5252749899</v>
      </c>
      <c r="P67" s="19">
        <f t="shared" si="18"/>
        <v>9023975.908746209</v>
      </c>
      <c r="Q67" s="19">
        <f t="shared" si="19"/>
        <v>7691943.6891501099</v>
      </c>
      <c r="R67" s="19">
        <f t="shared" si="20"/>
        <v>-258056.31084989011</v>
      </c>
      <c r="S67" s="20">
        <f t="shared" si="21"/>
        <v>-3.245991331445159E-2</v>
      </c>
      <c r="T67" s="20">
        <f t="shared" si="22"/>
        <v>0.15</v>
      </c>
      <c r="U67" s="20">
        <f t="shared" si="23"/>
        <v>-0.18245991331445158</v>
      </c>
      <c r="V67" s="21">
        <f t="shared" si="24"/>
        <v>5.1677445397929089</v>
      </c>
      <c r="W67" s="19">
        <f t="shared" si="25"/>
        <v>-2118296.3264269931</v>
      </c>
      <c r="X67" s="20">
        <f>IFERROR(NPV_IRR!L67,0)</f>
        <v>-1.0899602643525186E-2</v>
      </c>
      <c r="Y67" s="20">
        <f t="shared" si="26"/>
        <v>0.1</v>
      </c>
      <c r="Z67" s="17" t="str">
        <f>Raw_Data!O67</f>
        <v>Cancelled</v>
      </c>
      <c r="AA67" s="17" t="str">
        <f>Raw_Data!P67</f>
        <v>Medium</v>
      </c>
      <c r="AB67" s="17" t="str">
        <f t="shared" si="27"/>
        <v>Underperforming</v>
      </c>
      <c r="AC67" s="17" t="str">
        <f t="shared" si="28"/>
        <v>Review / Restructure</v>
      </c>
      <c r="AD67" s="20">
        <f t="shared" si="29"/>
        <v>0.84301867124151941</v>
      </c>
      <c r="AE67" s="20">
        <f t="shared" si="30"/>
        <v>0.90359116526131622</v>
      </c>
      <c r="AF67" s="19">
        <f t="shared" si="31"/>
        <v>-730000</v>
      </c>
      <c r="AG67" s="22">
        <f t="shared" si="32"/>
        <v>44.160750469172186</v>
      </c>
      <c r="AH67" s="17" t="str">
        <f t="shared" si="33"/>
        <v>Significantly Below Target</v>
      </c>
    </row>
    <row r="68" spans="1:34" ht="15" customHeight="1" x14ac:dyDescent="0.25">
      <c r="A68" s="17" t="str">
        <f>Raw_Data!A68</f>
        <v>INV-064</v>
      </c>
      <c r="B68" s="17" t="str">
        <f>Raw_Data!B68</f>
        <v>Plant Utility Upgrade – North</v>
      </c>
      <c r="C68" s="17" t="str">
        <f>Raw_Data!C68</f>
        <v>Infrastructure</v>
      </c>
      <c r="D68" s="17" t="str">
        <f>Raw_Data!D68</f>
        <v>Marketing</v>
      </c>
      <c r="E68" s="17" t="str">
        <f>Raw_Data!E68</f>
        <v>North</v>
      </c>
      <c r="F68" s="18">
        <f>Raw_Data!F68</f>
        <v>45816</v>
      </c>
      <c r="G68" s="18">
        <f>Raw_Data!G68</f>
        <v>46042</v>
      </c>
      <c r="H68" s="19">
        <f>Raw_Data!H68</f>
        <v>36710000</v>
      </c>
      <c r="I68" s="19">
        <f>Raw_Data!I68</f>
        <v>2450000</v>
      </c>
      <c r="J68" s="19">
        <f t="shared" si="17"/>
        <v>39160000</v>
      </c>
      <c r="K68" s="19">
        <f>Raw_Data!J68</f>
        <v>37890000</v>
      </c>
      <c r="L68" s="19">
        <f>Raw_Data!K68</f>
        <v>41571030.511354901</v>
      </c>
      <c r="M68" s="19">
        <f>Raw_Data!L68</f>
        <v>41354695.617024802</v>
      </c>
      <c r="N68" s="19">
        <f>Raw_Data!M68</f>
        <v>4440363.0951453298</v>
      </c>
      <c r="O68" s="19">
        <f>Raw_Data!N68</f>
        <v>3393564.4476515101</v>
      </c>
      <c r="P68" s="19">
        <f t="shared" si="18"/>
        <v>46011393.606500231</v>
      </c>
      <c r="Q68" s="19">
        <f t="shared" si="19"/>
        <v>44748260.064676315</v>
      </c>
      <c r="R68" s="19">
        <f t="shared" si="20"/>
        <v>5588260.0646763146</v>
      </c>
      <c r="S68" s="20">
        <f t="shared" si="21"/>
        <v>0.14270327029306218</v>
      </c>
      <c r="T68" s="20">
        <f t="shared" si="22"/>
        <v>0.13</v>
      </c>
      <c r="U68" s="20">
        <f t="shared" si="23"/>
        <v>1.2703270293062174E-2</v>
      </c>
      <c r="V68" s="21">
        <f t="shared" si="24"/>
        <v>4.375589122727968</v>
      </c>
      <c r="W68" s="19">
        <f t="shared" si="25"/>
        <v>-5233777.5585553274</v>
      </c>
      <c r="X68" s="20">
        <f>IFERROR(NPV_IRR!L68,0)</f>
        <v>4.6179155509859626E-2</v>
      </c>
      <c r="Y68" s="20">
        <f t="shared" si="26"/>
        <v>0.1</v>
      </c>
      <c r="Z68" s="17" t="str">
        <f>Raw_Data!O68</f>
        <v>On Hold</v>
      </c>
      <c r="AA68" s="17" t="str">
        <f>Raw_Data!P68</f>
        <v>Low</v>
      </c>
      <c r="AB68" s="17" t="str">
        <f t="shared" si="27"/>
        <v>Watch</v>
      </c>
      <c r="AC68" s="17" t="str">
        <f t="shared" si="28"/>
        <v>Review / Restructure</v>
      </c>
      <c r="AD68" s="20">
        <f t="shared" si="29"/>
        <v>0.99479601800414819</v>
      </c>
      <c r="AE68" s="20">
        <f t="shared" si="30"/>
        <v>0.76425381774785728</v>
      </c>
      <c r="AF68" s="19">
        <f t="shared" si="31"/>
        <v>1270000</v>
      </c>
      <c r="AG68" s="22">
        <f t="shared" si="32"/>
        <v>60.796622858878536</v>
      </c>
      <c r="AH68" s="17" t="str">
        <f t="shared" si="33"/>
        <v>On Target</v>
      </c>
    </row>
    <row r="69" spans="1:34" ht="15" customHeight="1" x14ac:dyDescent="0.25">
      <c r="A69" s="17" t="str">
        <f>Raw_Data!A69</f>
        <v>INV-065</v>
      </c>
      <c r="B69" s="17" t="str">
        <f>Raw_Data!B69</f>
        <v>ERP Cloud Migration – East</v>
      </c>
      <c r="C69" s="17" t="str">
        <f>Raw_Data!C69</f>
        <v>Technology</v>
      </c>
      <c r="D69" s="17" t="str">
        <f>Raw_Data!D69</f>
        <v>HR</v>
      </c>
      <c r="E69" s="17" t="str">
        <f>Raw_Data!E69</f>
        <v>East</v>
      </c>
      <c r="F69" s="18">
        <f>Raw_Data!F69</f>
        <v>45550</v>
      </c>
      <c r="G69" s="18">
        <f>Raw_Data!G69</f>
        <v>46241</v>
      </c>
      <c r="H69" s="19">
        <f>Raw_Data!H69</f>
        <v>32990000</v>
      </c>
      <c r="I69" s="19">
        <f>Raw_Data!I69</f>
        <v>2310000</v>
      </c>
      <c r="J69" s="19">
        <f t="shared" ref="J69:J100" si="34">H69+I69</f>
        <v>35300000</v>
      </c>
      <c r="K69" s="19">
        <f>Raw_Data!J69</f>
        <v>34870000</v>
      </c>
      <c r="L69" s="19">
        <f>Raw_Data!K69</f>
        <v>35172303.152442202</v>
      </c>
      <c r="M69" s="19">
        <f>Raw_Data!L69</f>
        <v>37365719.088756897</v>
      </c>
      <c r="N69" s="19">
        <f>Raw_Data!M69</f>
        <v>4870138.9267216902</v>
      </c>
      <c r="O69" s="19">
        <f>Raw_Data!N69</f>
        <v>3963520.65733427</v>
      </c>
      <c r="P69" s="19">
        <f t="shared" ref="P69:P100" si="35">L69+N69</f>
        <v>40042442.079163894</v>
      </c>
      <c r="Q69" s="19">
        <f t="shared" ref="Q69:Q100" si="36">M69+O69</f>
        <v>41329239.746091165</v>
      </c>
      <c r="R69" s="19">
        <f t="shared" ref="R69:R100" si="37">Q69-J69</f>
        <v>6029239.7460911646</v>
      </c>
      <c r="S69" s="20">
        <f t="shared" ref="S69:S100" si="38">IFERROR(R69/J69,0)</f>
        <v>0.17079999280711514</v>
      </c>
      <c r="T69" s="20">
        <f t="shared" ref="T69:T100" si="39">IF(C69="Technology",0.2,IF(C69="Marketing",0.22,IF(C69="Product Development",0.24,IF(C69="Expansion",0.18,IF(C69="Equipment",0.17,IF(C69="Automation",0.25,IF(C69="Training",0.15,0.13)))))))</f>
        <v>0.2</v>
      </c>
      <c r="U69" s="20">
        <f t="shared" ref="U69:U100" si="40">S69-T69</f>
        <v>-2.9200007192884875E-2</v>
      </c>
      <c r="V69" s="21">
        <f t="shared" ref="V69:V100" si="41">IFERROR(J69/(Q69/5),0)</f>
        <v>4.2705842421573461</v>
      </c>
      <c r="W69" s="19">
        <f t="shared" ref="W69:W100" si="42">NPV(Y69,Q69/5,Q69/5,Q69/5,Q69/5,Q69/5)-J69</f>
        <v>-4750277.2161403932</v>
      </c>
      <c r="X69" s="20">
        <f>IFERROR(NPV_IRR!L69,0)</f>
        <v>5.4974402441971382E-2</v>
      </c>
      <c r="Y69" s="20">
        <f t="shared" ref="Y69:Y100" si="43">IF(D69="Finance",0.09,IF(G69-F69&gt;600,0.11,IF(AA69="High",0.12,0.1)))</f>
        <v>0.11</v>
      </c>
      <c r="Z69" s="17" t="str">
        <f>Raw_Data!O69</f>
        <v>Active</v>
      </c>
      <c r="AA69" s="17" t="str">
        <f>Raw_Data!P69</f>
        <v>High</v>
      </c>
      <c r="AB69" s="17" t="str">
        <f t="shared" ref="AB69:AB100" si="44">IF(AG69&gt;=82,"Excellent",IF(AG69&gt;=68,"Good",IF(AG69&gt;=52,"Watch",IF(AG69&gt;=35,"Underperforming","Critical"))))</f>
        <v>Watch</v>
      </c>
      <c r="AC69" s="17" t="str">
        <f t="shared" ref="AC69:AC100" si="45">IF(AND(AG69&gt;=68,W69&gt;0,AA69&lt;&gt;"High"),"Increase / Scale",IF(OR(AG69&lt;35,W69&lt;0),"Review / Restructure",IF(AND(AA69="High",U69&gt;0),"Monitor Closely","Continue")))</f>
        <v>Review / Restructure</v>
      </c>
      <c r="AD69" s="20">
        <f t="shared" ref="AD69:AD100" si="46">IFERROR(M69/L69,0)</f>
        <v>1.0623620218104026</v>
      </c>
      <c r="AE69" s="20">
        <f t="shared" ref="AE69:AE100" si="47">IFERROR(O69/N69,0)</f>
        <v>0.81384139487008311</v>
      </c>
      <c r="AF69" s="19">
        <f t="shared" ref="AF69:AF100" si="48">J69-K69</f>
        <v>430000</v>
      </c>
      <c r="AG69" s="22">
        <f t="shared" ref="AG69:AG100" si="49">MAX(0,MIN(100,(MIN(100,MAX(0,50+U69*250))*22%)+(MIN(100,MAX(0,50+(W69/J69)*100))*18%)+(MIN(100,MAX(0,50+(X69-T69)*180))*15%)+(MIN(100,MAX(0,100-V69*12))*10%)+(MIN(100,MAX(0,100-MAX(0,AF69/K69)*250))*12%)+(MIN(100,MAX(0,AD69*100))*12%)+(MIN(100,MAX(0,AE69*100))*6%)+(IF(AA69="Low",100,IF(AA69="Medium",90,78))*5%)))</f>
        <v>56.844472563102286</v>
      </c>
      <c r="AH69" s="17" t="str">
        <f t="shared" ref="AH69:AH100" si="50">IF(U69&gt;=5%,"Significantly Above Target",IF(U69&gt;=1.5%,"Above Target",IF(U69&gt;=-1.5%,"On Target",IF(U69&gt;=-5%,"Below Target","Significantly Below Target"))))</f>
        <v>Below Target</v>
      </c>
    </row>
    <row r="70" spans="1:34" ht="15" customHeight="1" x14ac:dyDescent="0.25">
      <c r="A70" s="17" t="str">
        <f>Raw_Data!A70</f>
        <v>INV-066</v>
      </c>
      <c r="B70" s="17" t="str">
        <f>Raw_Data!B70</f>
        <v>Brand Repositioning – Central</v>
      </c>
      <c r="C70" s="17" t="str">
        <f>Raw_Data!C70</f>
        <v>Marketing</v>
      </c>
      <c r="D70" s="17" t="str">
        <f>Raw_Data!D70</f>
        <v>Supply Chain</v>
      </c>
      <c r="E70" s="17" t="str">
        <f>Raw_Data!E70</f>
        <v>Central</v>
      </c>
      <c r="F70" s="18">
        <f>Raw_Data!F70</f>
        <v>45875</v>
      </c>
      <c r="G70" s="18">
        <f>Raw_Data!G70</f>
        <v>46155</v>
      </c>
      <c r="H70" s="19">
        <f>Raw_Data!H70</f>
        <v>12350000</v>
      </c>
      <c r="I70" s="19">
        <f>Raw_Data!I70</f>
        <v>2210000</v>
      </c>
      <c r="J70" s="19">
        <f t="shared" si="34"/>
        <v>14560000</v>
      </c>
      <c r="K70" s="19">
        <f>Raw_Data!J70</f>
        <v>14390000</v>
      </c>
      <c r="L70" s="19">
        <f>Raw_Data!K70</f>
        <v>16863619.506153699</v>
      </c>
      <c r="M70" s="19">
        <f>Raw_Data!L70</f>
        <v>16334094.423044199</v>
      </c>
      <c r="N70" s="19">
        <f>Raw_Data!M70</f>
        <v>1026331.3076947799</v>
      </c>
      <c r="O70" s="19">
        <f>Raw_Data!N70</f>
        <v>1121020.62143888</v>
      </c>
      <c r="P70" s="19">
        <f t="shared" si="35"/>
        <v>17889950.813848481</v>
      </c>
      <c r="Q70" s="19">
        <f t="shared" si="36"/>
        <v>17455115.044483081</v>
      </c>
      <c r="R70" s="19">
        <f t="shared" si="37"/>
        <v>2895115.0444830805</v>
      </c>
      <c r="S70" s="20">
        <f t="shared" si="38"/>
        <v>0.19884031898922255</v>
      </c>
      <c r="T70" s="20">
        <f t="shared" si="39"/>
        <v>0.22</v>
      </c>
      <c r="U70" s="20">
        <f t="shared" si="40"/>
        <v>-2.1159681010777448E-2</v>
      </c>
      <c r="V70" s="21">
        <f t="shared" si="41"/>
        <v>4.1706972319846951</v>
      </c>
      <c r="W70" s="19">
        <f t="shared" si="42"/>
        <v>-1326276.1661742404</v>
      </c>
      <c r="X70" s="20">
        <f>IFERROR(NPV_IRR!L70,0)</f>
        <v>6.3664812606374133E-2</v>
      </c>
      <c r="Y70" s="20">
        <f t="shared" si="43"/>
        <v>0.1</v>
      </c>
      <c r="Z70" s="17" t="str">
        <f>Raw_Data!O70</f>
        <v>Completed</v>
      </c>
      <c r="AA70" s="17" t="str">
        <f>Raw_Data!P70</f>
        <v>Medium</v>
      </c>
      <c r="AB70" s="17" t="str">
        <f t="shared" si="44"/>
        <v>Watch</v>
      </c>
      <c r="AC70" s="17" t="str">
        <f t="shared" si="45"/>
        <v>Review / Restructure</v>
      </c>
      <c r="AD70" s="20">
        <f t="shared" si="46"/>
        <v>0.96859955937002307</v>
      </c>
      <c r="AE70" s="20">
        <f t="shared" si="47"/>
        <v>1.0922599876221057</v>
      </c>
      <c r="AF70" s="19">
        <f t="shared" si="48"/>
        <v>170000</v>
      </c>
      <c r="AG70" s="22">
        <f t="shared" si="49"/>
        <v>59.23948560366847</v>
      </c>
      <c r="AH70" s="17" t="str">
        <f t="shared" si="50"/>
        <v>Below Target</v>
      </c>
    </row>
    <row r="71" spans="1:34" ht="15" customHeight="1" x14ac:dyDescent="0.25">
      <c r="A71" s="17" t="str">
        <f>Raw_Data!A71</f>
        <v>INV-067</v>
      </c>
      <c r="B71" s="17" t="str">
        <f>Raw_Data!B71</f>
        <v>Premium Product Line – South</v>
      </c>
      <c r="C71" s="17" t="str">
        <f>Raw_Data!C71</f>
        <v>Product Development</v>
      </c>
      <c r="D71" s="17" t="str">
        <f>Raw_Data!D71</f>
        <v>Operations</v>
      </c>
      <c r="E71" s="17" t="str">
        <f>Raw_Data!E71</f>
        <v>South</v>
      </c>
      <c r="F71" s="18">
        <f>Raw_Data!F71</f>
        <v>45458</v>
      </c>
      <c r="G71" s="18">
        <f>Raw_Data!G71</f>
        <v>45849</v>
      </c>
      <c r="H71" s="19">
        <f>Raw_Data!H71</f>
        <v>40100000</v>
      </c>
      <c r="I71" s="19">
        <f>Raw_Data!I71</f>
        <v>4630000</v>
      </c>
      <c r="J71" s="19">
        <f t="shared" si="34"/>
        <v>44730000</v>
      </c>
      <c r="K71" s="19">
        <f>Raw_Data!J71</f>
        <v>44500000</v>
      </c>
      <c r="L71" s="19">
        <f>Raw_Data!K71</f>
        <v>46408097.718839601</v>
      </c>
      <c r="M71" s="19">
        <f>Raw_Data!L71</f>
        <v>38959914.437910698</v>
      </c>
      <c r="N71" s="19">
        <f>Raw_Data!M71</f>
        <v>8977326.7830403708</v>
      </c>
      <c r="O71" s="19">
        <f>Raw_Data!N71</f>
        <v>9199046.8826595005</v>
      </c>
      <c r="P71" s="19">
        <f t="shared" si="35"/>
        <v>55385424.501879975</v>
      </c>
      <c r="Q71" s="19">
        <f t="shared" si="36"/>
        <v>48158961.320570201</v>
      </c>
      <c r="R71" s="19">
        <f t="shared" si="37"/>
        <v>3428961.3205702007</v>
      </c>
      <c r="S71" s="20">
        <f t="shared" si="38"/>
        <v>7.6659095027279245E-2</v>
      </c>
      <c r="T71" s="20">
        <f t="shared" si="39"/>
        <v>0.24</v>
      </c>
      <c r="U71" s="20">
        <f t="shared" si="40"/>
        <v>-0.16334090497272075</v>
      </c>
      <c r="V71" s="21">
        <f t="shared" si="41"/>
        <v>4.6439955071138979</v>
      </c>
      <c r="W71" s="19">
        <f t="shared" si="42"/>
        <v>-8217929.3195058629</v>
      </c>
      <c r="X71" s="20">
        <f>IFERROR(NPV_IRR!L71,0)</f>
        <v>2.5137100930855416E-2</v>
      </c>
      <c r="Y71" s="20">
        <f t="shared" si="43"/>
        <v>0.1</v>
      </c>
      <c r="Z71" s="17" t="str">
        <f>Raw_Data!O71</f>
        <v>Cancelled</v>
      </c>
      <c r="AA71" s="17" t="str">
        <f>Raw_Data!P71</f>
        <v>Low</v>
      </c>
      <c r="AB71" s="17" t="str">
        <f t="shared" si="44"/>
        <v>Underperforming</v>
      </c>
      <c r="AC71" s="17" t="str">
        <f t="shared" si="45"/>
        <v>Review / Restructure</v>
      </c>
      <c r="AD71" s="20">
        <f t="shared" si="46"/>
        <v>0.83950681783913594</v>
      </c>
      <c r="AE71" s="20">
        <f t="shared" si="47"/>
        <v>1.0246977864321476</v>
      </c>
      <c r="AF71" s="19">
        <f t="shared" si="48"/>
        <v>230000</v>
      </c>
      <c r="AG71" s="22">
        <f t="shared" si="49"/>
        <v>46.754169166724786</v>
      </c>
      <c r="AH71" s="17" t="str">
        <f t="shared" si="50"/>
        <v>Significantly Below Target</v>
      </c>
    </row>
    <row r="72" spans="1:34" ht="15" customHeight="1" x14ac:dyDescent="0.25">
      <c r="A72" s="17" t="str">
        <f>Raw_Data!A72</f>
        <v>INV-068</v>
      </c>
      <c r="B72" s="17" t="str">
        <f>Raw_Data!B72</f>
        <v>Tier-2 City Expansion – West</v>
      </c>
      <c r="C72" s="17" t="str">
        <f>Raw_Data!C72</f>
        <v>Expansion</v>
      </c>
      <c r="D72" s="17" t="str">
        <f>Raw_Data!D72</f>
        <v>Finance</v>
      </c>
      <c r="E72" s="17" t="str">
        <f>Raw_Data!E72</f>
        <v>West</v>
      </c>
      <c r="F72" s="18">
        <f>Raw_Data!F72</f>
        <v>45789</v>
      </c>
      <c r="G72" s="18">
        <f>Raw_Data!G72</f>
        <v>46508</v>
      </c>
      <c r="H72" s="19">
        <f>Raw_Data!H72</f>
        <v>39670000</v>
      </c>
      <c r="I72" s="19">
        <f>Raw_Data!I72</f>
        <v>830000</v>
      </c>
      <c r="J72" s="19">
        <f t="shared" si="34"/>
        <v>40500000</v>
      </c>
      <c r="K72" s="19">
        <f>Raw_Data!J72</f>
        <v>40250000</v>
      </c>
      <c r="L72" s="19">
        <f>Raw_Data!K72</f>
        <v>41939562.135678202</v>
      </c>
      <c r="M72" s="19">
        <f>Raw_Data!L72</f>
        <v>43814187.638232999</v>
      </c>
      <c r="N72" s="19">
        <f>Raw_Data!M72</f>
        <v>4330445.4886648804</v>
      </c>
      <c r="O72" s="19">
        <f>Raw_Data!N72</f>
        <v>4294069.6863319697</v>
      </c>
      <c r="P72" s="19">
        <f t="shared" si="35"/>
        <v>46270007.624343082</v>
      </c>
      <c r="Q72" s="19">
        <f t="shared" si="36"/>
        <v>48108257.324564971</v>
      </c>
      <c r="R72" s="19">
        <f t="shared" si="37"/>
        <v>7608257.324564971</v>
      </c>
      <c r="S72" s="20">
        <f t="shared" si="38"/>
        <v>0.18785820554481411</v>
      </c>
      <c r="T72" s="20">
        <f t="shared" si="39"/>
        <v>0.18</v>
      </c>
      <c r="U72" s="20">
        <f t="shared" si="40"/>
        <v>7.8582055448141175E-3</v>
      </c>
      <c r="V72" s="21">
        <f t="shared" si="41"/>
        <v>4.2092566071105582</v>
      </c>
      <c r="W72" s="19">
        <f t="shared" si="42"/>
        <v>-3075131.2239712849</v>
      </c>
      <c r="X72" s="20">
        <f>IFERROR(NPV_IRR!L72,0)</f>
        <v>6.0271306582937889E-2</v>
      </c>
      <c r="Y72" s="20">
        <f t="shared" si="43"/>
        <v>0.09</v>
      </c>
      <c r="Z72" s="17" t="str">
        <f>Raw_Data!O72</f>
        <v>On Hold</v>
      </c>
      <c r="AA72" s="17" t="str">
        <f>Raw_Data!P72</f>
        <v>High</v>
      </c>
      <c r="AB72" s="17" t="str">
        <f t="shared" si="44"/>
        <v>Watch</v>
      </c>
      <c r="AC72" s="17" t="str">
        <f t="shared" si="45"/>
        <v>Review / Restructure</v>
      </c>
      <c r="AD72" s="20">
        <f t="shared" si="46"/>
        <v>1.0446982611904774</v>
      </c>
      <c r="AE72" s="20">
        <f t="shared" si="47"/>
        <v>0.99159998609193312</v>
      </c>
      <c r="AF72" s="19">
        <f t="shared" si="48"/>
        <v>250000</v>
      </c>
      <c r="AG72" s="22">
        <f t="shared" si="49"/>
        <v>61.94495817856464</v>
      </c>
      <c r="AH72" s="17" t="str">
        <f t="shared" si="50"/>
        <v>On Target</v>
      </c>
    </row>
    <row r="73" spans="1:34" ht="15" customHeight="1" x14ac:dyDescent="0.25">
      <c r="A73" s="17" t="str">
        <f>Raw_Data!A73</f>
        <v>INV-069</v>
      </c>
      <c r="B73" s="17" t="str">
        <f>Raw_Data!B73</f>
        <v>Automated Packaging Line – North</v>
      </c>
      <c r="C73" s="17" t="str">
        <f>Raw_Data!C73</f>
        <v>Equipment</v>
      </c>
      <c r="D73" s="17" t="str">
        <f>Raw_Data!D73</f>
        <v>Sales</v>
      </c>
      <c r="E73" s="17" t="str">
        <f>Raw_Data!E73</f>
        <v>North</v>
      </c>
      <c r="F73" s="18">
        <f>Raw_Data!F73</f>
        <v>45606</v>
      </c>
      <c r="G73" s="18">
        <f>Raw_Data!G73</f>
        <v>46014</v>
      </c>
      <c r="H73" s="19">
        <f>Raw_Data!H73</f>
        <v>21780000</v>
      </c>
      <c r="I73" s="19">
        <f>Raw_Data!I73</f>
        <v>1490000</v>
      </c>
      <c r="J73" s="19">
        <f t="shared" si="34"/>
        <v>23270000</v>
      </c>
      <c r="K73" s="19">
        <f>Raw_Data!J73</f>
        <v>22830000</v>
      </c>
      <c r="L73" s="19">
        <f>Raw_Data!K73</f>
        <v>25756364.7256012</v>
      </c>
      <c r="M73" s="19">
        <f>Raw_Data!L73</f>
        <v>26814834.277482301</v>
      </c>
      <c r="N73" s="19">
        <f>Raw_Data!M73</f>
        <v>2258516.4983185302</v>
      </c>
      <c r="O73" s="19">
        <f>Raw_Data!N73</f>
        <v>2216799.9982603202</v>
      </c>
      <c r="P73" s="19">
        <f t="shared" si="35"/>
        <v>28014881.223919731</v>
      </c>
      <c r="Q73" s="19">
        <f t="shared" si="36"/>
        <v>29031634.27574262</v>
      </c>
      <c r="R73" s="19">
        <f t="shared" si="37"/>
        <v>5761634.2757426202</v>
      </c>
      <c r="S73" s="20">
        <f t="shared" si="38"/>
        <v>0.24759923832155653</v>
      </c>
      <c r="T73" s="20">
        <f t="shared" si="39"/>
        <v>0.17</v>
      </c>
      <c r="U73" s="20">
        <f t="shared" si="40"/>
        <v>7.7599238321556518E-2</v>
      </c>
      <c r="V73" s="21">
        <f t="shared" si="41"/>
        <v>4.0076972207250572</v>
      </c>
      <c r="W73" s="19">
        <f t="shared" si="42"/>
        <v>-1259452.9786420166</v>
      </c>
      <c r="X73" s="20">
        <f>IFERROR(NPV_IRR!L73,0)</f>
        <v>7.8580058271160214E-2</v>
      </c>
      <c r="Y73" s="20">
        <f t="shared" si="43"/>
        <v>0.1</v>
      </c>
      <c r="Z73" s="17" t="str">
        <f>Raw_Data!O73</f>
        <v>Active</v>
      </c>
      <c r="AA73" s="17" t="str">
        <f>Raw_Data!P73</f>
        <v>Medium</v>
      </c>
      <c r="AB73" s="17" t="str">
        <f t="shared" si="44"/>
        <v>Watch</v>
      </c>
      <c r="AC73" s="17" t="str">
        <f t="shared" si="45"/>
        <v>Review / Restructure</v>
      </c>
      <c r="AD73" s="20">
        <f t="shared" si="46"/>
        <v>1.041095455944876</v>
      </c>
      <c r="AE73" s="20">
        <f t="shared" si="47"/>
        <v>0.9815292471455187</v>
      </c>
      <c r="AF73" s="19">
        <f t="shared" si="48"/>
        <v>440000</v>
      </c>
      <c r="AG73" s="22">
        <f t="shared" si="49"/>
        <v>67.327149572578833</v>
      </c>
      <c r="AH73" s="17" t="str">
        <f t="shared" si="50"/>
        <v>Significantly Above Target</v>
      </c>
    </row>
    <row r="74" spans="1:34" ht="15" customHeight="1" x14ac:dyDescent="0.25">
      <c r="A74" s="17" t="str">
        <f>Raw_Data!A74</f>
        <v>INV-070</v>
      </c>
      <c r="B74" s="17" t="str">
        <f>Raw_Data!B74</f>
        <v>RPA Finance Rollout – East</v>
      </c>
      <c r="C74" s="17" t="str">
        <f>Raw_Data!C74</f>
        <v>Automation</v>
      </c>
      <c r="D74" s="17" t="str">
        <f>Raw_Data!D74</f>
        <v>IT</v>
      </c>
      <c r="E74" s="17" t="str">
        <f>Raw_Data!E74</f>
        <v>East</v>
      </c>
      <c r="F74" s="18">
        <f>Raw_Data!F74</f>
        <v>45884</v>
      </c>
      <c r="G74" s="18">
        <f>Raw_Data!G74</f>
        <v>46184</v>
      </c>
      <c r="H74" s="19">
        <f>Raw_Data!H74</f>
        <v>29760000</v>
      </c>
      <c r="I74" s="19">
        <f>Raw_Data!I74</f>
        <v>310000</v>
      </c>
      <c r="J74" s="19">
        <f t="shared" si="34"/>
        <v>30070000</v>
      </c>
      <c r="K74" s="19">
        <f>Raw_Data!J74</f>
        <v>32340000</v>
      </c>
      <c r="L74" s="19">
        <f>Raw_Data!K74</f>
        <v>32025065.574788298</v>
      </c>
      <c r="M74" s="19">
        <f>Raw_Data!L74</f>
        <v>29631888.0107712</v>
      </c>
      <c r="N74" s="19">
        <f>Raw_Data!M74</f>
        <v>6579534.0676080603</v>
      </c>
      <c r="O74" s="19">
        <f>Raw_Data!N74</f>
        <v>5183527.19409547</v>
      </c>
      <c r="P74" s="19">
        <f t="shared" si="35"/>
        <v>38604599.642396361</v>
      </c>
      <c r="Q74" s="19">
        <f t="shared" si="36"/>
        <v>34815415.20486667</v>
      </c>
      <c r="R74" s="19">
        <f t="shared" si="37"/>
        <v>4745415.2048666701</v>
      </c>
      <c r="S74" s="20">
        <f t="shared" si="38"/>
        <v>0.15781227817980278</v>
      </c>
      <c r="T74" s="20">
        <f t="shared" si="39"/>
        <v>0.25</v>
      </c>
      <c r="U74" s="20">
        <f t="shared" si="40"/>
        <v>-9.2187721820197216E-2</v>
      </c>
      <c r="V74" s="21">
        <f t="shared" si="41"/>
        <v>4.3184893563752</v>
      </c>
      <c r="W74" s="19">
        <f t="shared" si="42"/>
        <v>-3674436.9339859486</v>
      </c>
      <c r="X74" s="20">
        <f>IFERROR(NPV_IRR!L74,0)</f>
        <v>5.0919904333440513E-2</v>
      </c>
      <c r="Y74" s="20">
        <f t="shared" si="43"/>
        <v>0.1</v>
      </c>
      <c r="Z74" s="17" t="str">
        <f>Raw_Data!O74</f>
        <v>Completed</v>
      </c>
      <c r="AA74" s="17" t="str">
        <f>Raw_Data!P74</f>
        <v>Low</v>
      </c>
      <c r="AB74" s="17" t="str">
        <f t="shared" si="44"/>
        <v>Watch</v>
      </c>
      <c r="AC74" s="17" t="str">
        <f t="shared" si="45"/>
        <v>Review / Restructure</v>
      </c>
      <c r="AD74" s="20">
        <f t="shared" si="46"/>
        <v>0.92527173571500432</v>
      </c>
      <c r="AE74" s="20">
        <f t="shared" si="47"/>
        <v>0.78782587654871772</v>
      </c>
      <c r="AF74" s="19">
        <f t="shared" si="48"/>
        <v>-2270000</v>
      </c>
      <c r="AG74" s="22">
        <f t="shared" si="49"/>
        <v>52.503011653211701</v>
      </c>
      <c r="AH74" s="17" t="str">
        <f t="shared" si="50"/>
        <v>Significantly Below Target</v>
      </c>
    </row>
    <row r="75" spans="1:34" ht="15" customHeight="1" x14ac:dyDescent="0.25">
      <c r="A75" s="17" t="str">
        <f>Raw_Data!A75</f>
        <v>INV-071</v>
      </c>
      <c r="B75" s="17" t="str">
        <f>Raw_Data!B75</f>
        <v>Leadership Development – Central</v>
      </c>
      <c r="C75" s="17" t="str">
        <f>Raw_Data!C75</f>
        <v>Training</v>
      </c>
      <c r="D75" s="17" t="str">
        <f>Raw_Data!D75</f>
        <v>Product</v>
      </c>
      <c r="E75" s="17" t="str">
        <f>Raw_Data!E75</f>
        <v>Central</v>
      </c>
      <c r="F75" s="18">
        <f>Raw_Data!F75</f>
        <v>45484</v>
      </c>
      <c r="G75" s="18">
        <f>Raw_Data!G75</f>
        <v>46336</v>
      </c>
      <c r="H75" s="19">
        <f>Raw_Data!H75</f>
        <v>8520000</v>
      </c>
      <c r="I75" s="19">
        <f>Raw_Data!I75</f>
        <v>760000</v>
      </c>
      <c r="J75" s="19">
        <f t="shared" si="34"/>
        <v>9280000</v>
      </c>
      <c r="K75" s="19">
        <f>Raw_Data!J75</f>
        <v>9240000</v>
      </c>
      <c r="L75" s="19">
        <f>Raw_Data!K75</f>
        <v>10027093.779638801</v>
      </c>
      <c r="M75" s="19">
        <f>Raw_Data!L75</f>
        <v>8674585.2682896294</v>
      </c>
      <c r="N75" s="19">
        <f>Raw_Data!M75</f>
        <v>531423.35182903497</v>
      </c>
      <c r="O75" s="19">
        <f>Raw_Data!N75</f>
        <v>468565.85828487098</v>
      </c>
      <c r="P75" s="19">
        <f t="shared" si="35"/>
        <v>10558517.131467836</v>
      </c>
      <c r="Q75" s="19">
        <f t="shared" si="36"/>
        <v>9143151.1265744995</v>
      </c>
      <c r="R75" s="19">
        <f t="shared" si="37"/>
        <v>-136848.87342550047</v>
      </c>
      <c r="S75" s="20">
        <f t="shared" si="38"/>
        <v>-1.4746645843265136E-2</v>
      </c>
      <c r="T75" s="20">
        <f t="shared" si="39"/>
        <v>0.15</v>
      </c>
      <c r="U75" s="20">
        <f t="shared" si="40"/>
        <v>-0.16474664584326512</v>
      </c>
      <c r="V75" s="21">
        <f t="shared" si="41"/>
        <v>5.0748368213163131</v>
      </c>
      <c r="W75" s="19">
        <f t="shared" si="42"/>
        <v>-2521571.0038749939</v>
      </c>
      <c r="X75" s="20">
        <f>IFERROR(NPV_IRR!L75,0)</f>
        <v>-4.931803684160907E-3</v>
      </c>
      <c r="Y75" s="20">
        <f t="shared" si="43"/>
        <v>0.11</v>
      </c>
      <c r="Z75" s="17" t="str">
        <f>Raw_Data!O75</f>
        <v>Cancelled</v>
      </c>
      <c r="AA75" s="17" t="str">
        <f>Raw_Data!P75</f>
        <v>High</v>
      </c>
      <c r="AB75" s="17" t="str">
        <f t="shared" si="44"/>
        <v>Underperforming</v>
      </c>
      <c r="AC75" s="17" t="str">
        <f t="shared" si="45"/>
        <v>Review / Restructure</v>
      </c>
      <c r="AD75" s="20">
        <f t="shared" si="46"/>
        <v>0.86511460438361509</v>
      </c>
      <c r="AE75" s="20">
        <f t="shared" si="47"/>
        <v>0.8817186084732197</v>
      </c>
      <c r="AF75" s="19">
        <f t="shared" si="48"/>
        <v>40000</v>
      </c>
      <c r="AG75" s="22">
        <f t="shared" si="49"/>
        <v>44.716810126866285</v>
      </c>
      <c r="AH75" s="17" t="str">
        <f t="shared" si="50"/>
        <v>Significantly Below Target</v>
      </c>
    </row>
    <row r="76" spans="1:34" ht="15" customHeight="1" x14ac:dyDescent="0.25">
      <c r="A76" s="17" t="str">
        <f>Raw_Data!A76</f>
        <v>INV-072</v>
      </c>
      <c r="B76" s="17" t="str">
        <f>Raw_Data!B76</f>
        <v>Plant Utility Upgrade – South</v>
      </c>
      <c r="C76" s="17" t="str">
        <f>Raw_Data!C76</f>
        <v>Infrastructure</v>
      </c>
      <c r="D76" s="17" t="str">
        <f>Raw_Data!D76</f>
        <v>Marketing</v>
      </c>
      <c r="E76" s="17" t="str">
        <f>Raw_Data!E76</f>
        <v>South</v>
      </c>
      <c r="F76" s="18">
        <f>Raw_Data!F76</f>
        <v>45590</v>
      </c>
      <c r="G76" s="18">
        <f>Raw_Data!G76</f>
        <v>46416</v>
      </c>
      <c r="H76" s="19">
        <f>Raw_Data!H76</f>
        <v>16520000</v>
      </c>
      <c r="I76" s="19">
        <f>Raw_Data!I76</f>
        <v>2130000</v>
      </c>
      <c r="J76" s="19">
        <f t="shared" si="34"/>
        <v>18650000</v>
      </c>
      <c r="K76" s="19">
        <f>Raw_Data!J76</f>
        <v>19990000</v>
      </c>
      <c r="L76" s="19">
        <f>Raw_Data!K76</f>
        <v>16807138.967027199</v>
      </c>
      <c r="M76" s="19">
        <f>Raw_Data!L76</f>
        <v>15338971.0760304</v>
      </c>
      <c r="N76" s="19">
        <f>Raw_Data!M76</f>
        <v>3840551.3786177798</v>
      </c>
      <c r="O76" s="19">
        <f>Raw_Data!N76</f>
        <v>3829774.20867807</v>
      </c>
      <c r="P76" s="19">
        <f t="shared" si="35"/>
        <v>20647690.345644977</v>
      </c>
      <c r="Q76" s="19">
        <f t="shared" si="36"/>
        <v>19168745.28470847</v>
      </c>
      <c r="R76" s="19">
        <f t="shared" si="37"/>
        <v>518745.28470847011</v>
      </c>
      <c r="S76" s="20">
        <f t="shared" si="38"/>
        <v>2.7814760574180704E-2</v>
      </c>
      <c r="T76" s="20">
        <f t="shared" si="39"/>
        <v>0.13</v>
      </c>
      <c r="U76" s="20">
        <f t="shared" si="40"/>
        <v>-0.10218523942581931</v>
      </c>
      <c r="V76" s="21">
        <f t="shared" si="41"/>
        <v>4.8646898174597037</v>
      </c>
      <c r="W76" s="19">
        <f t="shared" si="42"/>
        <v>-4480858.2940327451</v>
      </c>
      <c r="X76" s="20">
        <f>IFERROR(NPV_IRR!L76,0)</f>
        <v>9.215234477823131E-3</v>
      </c>
      <c r="Y76" s="20">
        <f t="shared" si="43"/>
        <v>0.11</v>
      </c>
      <c r="Z76" s="17" t="str">
        <f>Raw_Data!O76</f>
        <v>On Hold</v>
      </c>
      <c r="AA76" s="17" t="str">
        <f>Raw_Data!P76</f>
        <v>Medium</v>
      </c>
      <c r="AB76" s="17" t="str">
        <f t="shared" si="44"/>
        <v>Underperforming</v>
      </c>
      <c r="AC76" s="17" t="str">
        <f t="shared" si="45"/>
        <v>Review / Restructure</v>
      </c>
      <c r="AD76" s="20">
        <f t="shared" si="46"/>
        <v>0.91264617411225679</v>
      </c>
      <c r="AE76" s="20">
        <f t="shared" si="47"/>
        <v>0.99719384825842672</v>
      </c>
      <c r="AF76" s="19">
        <f t="shared" si="48"/>
        <v>-1340000</v>
      </c>
      <c r="AG76" s="22">
        <f t="shared" si="49"/>
        <v>51.891223590315128</v>
      </c>
      <c r="AH76" s="17" t="str">
        <f t="shared" si="50"/>
        <v>Significantly Below Target</v>
      </c>
    </row>
    <row r="77" spans="1:34" ht="15" customHeight="1" x14ac:dyDescent="0.25">
      <c r="A77" s="17" t="str">
        <f>Raw_Data!A77</f>
        <v>INV-073</v>
      </c>
      <c r="B77" s="17" t="str">
        <f>Raw_Data!B77</f>
        <v>ERP Cloud Migration – West</v>
      </c>
      <c r="C77" s="17" t="str">
        <f>Raw_Data!C77</f>
        <v>Technology</v>
      </c>
      <c r="D77" s="17" t="str">
        <f>Raw_Data!D77</f>
        <v>HR</v>
      </c>
      <c r="E77" s="17" t="str">
        <f>Raw_Data!E77</f>
        <v>West</v>
      </c>
      <c r="F77" s="18">
        <f>Raw_Data!F77</f>
        <v>46049</v>
      </c>
      <c r="G77" s="18">
        <f>Raw_Data!G77</f>
        <v>46398</v>
      </c>
      <c r="H77" s="19">
        <f>Raw_Data!H77</f>
        <v>23590000</v>
      </c>
      <c r="I77" s="19">
        <f>Raw_Data!I77</f>
        <v>2800000</v>
      </c>
      <c r="J77" s="19">
        <f t="shared" si="34"/>
        <v>26390000</v>
      </c>
      <c r="K77" s="19">
        <f>Raw_Data!J77</f>
        <v>28150000</v>
      </c>
      <c r="L77" s="19">
        <f>Raw_Data!K77</f>
        <v>27847301.449016299</v>
      </c>
      <c r="M77" s="19">
        <f>Raw_Data!L77</f>
        <v>25957698.8367492</v>
      </c>
      <c r="N77" s="19">
        <f>Raw_Data!M77</f>
        <v>5027539.9570294404</v>
      </c>
      <c r="O77" s="19">
        <f>Raw_Data!N77</f>
        <v>5513712.0876653697</v>
      </c>
      <c r="P77" s="19">
        <f t="shared" si="35"/>
        <v>32874841.406045739</v>
      </c>
      <c r="Q77" s="19">
        <f t="shared" si="36"/>
        <v>31471410.924414568</v>
      </c>
      <c r="R77" s="19">
        <f t="shared" si="37"/>
        <v>5081410.9244145676</v>
      </c>
      <c r="S77" s="20">
        <f t="shared" si="38"/>
        <v>0.19255062237266266</v>
      </c>
      <c r="T77" s="20">
        <f t="shared" si="39"/>
        <v>0.2</v>
      </c>
      <c r="U77" s="20">
        <f t="shared" si="40"/>
        <v>-7.4493776273373558E-3</v>
      </c>
      <c r="V77" s="21">
        <f t="shared" si="41"/>
        <v>4.1926941349056959</v>
      </c>
      <c r="W77" s="19">
        <f t="shared" si="42"/>
        <v>-2529718.3706225529</v>
      </c>
      <c r="X77" s="20">
        <f>IFERROR(NPV_IRR!L77,0)</f>
        <v>6.1722855352440931E-2</v>
      </c>
      <c r="Y77" s="20">
        <f t="shared" si="43"/>
        <v>0.1</v>
      </c>
      <c r="Z77" s="17" t="str">
        <f>Raw_Data!O77</f>
        <v>Active</v>
      </c>
      <c r="AA77" s="17" t="str">
        <f>Raw_Data!P77</f>
        <v>Low</v>
      </c>
      <c r="AB77" s="17" t="str">
        <f t="shared" si="44"/>
        <v>Watch</v>
      </c>
      <c r="AC77" s="17" t="str">
        <f t="shared" si="45"/>
        <v>Review / Restructure</v>
      </c>
      <c r="AD77" s="20">
        <f t="shared" si="46"/>
        <v>0.93214413914660121</v>
      </c>
      <c r="AE77" s="20">
        <f t="shared" si="47"/>
        <v>1.0967017934797654</v>
      </c>
      <c r="AF77" s="19">
        <f t="shared" si="48"/>
        <v>-1760000</v>
      </c>
      <c r="AG77" s="22">
        <f t="shared" si="49"/>
        <v>60.785836468989089</v>
      </c>
      <c r="AH77" s="17" t="str">
        <f t="shared" si="50"/>
        <v>On Target</v>
      </c>
    </row>
    <row r="78" spans="1:34" ht="15" customHeight="1" x14ac:dyDescent="0.25">
      <c r="A78" s="17" t="str">
        <f>Raw_Data!A78</f>
        <v>INV-074</v>
      </c>
      <c r="B78" s="17" t="str">
        <f>Raw_Data!B78</f>
        <v>Brand Repositioning – North</v>
      </c>
      <c r="C78" s="17" t="str">
        <f>Raw_Data!C78</f>
        <v>Marketing</v>
      </c>
      <c r="D78" s="17" t="str">
        <f>Raw_Data!D78</f>
        <v>Supply Chain</v>
      </c>
      <c r="E78" s="17" t="str">
        <f>Raw_Data!E78</f>
        <v>North</v>
      </c>
      <c r="F78" s="18">
        <f>Raw_Data!F78</f>
        <v>45384</v>
      </c>
      <c r="G78" s="18">
        <f>Raw_Data!G78</f>
        <v>46233</v>
      </c>
      <c r="H78" s="19">
        <f>Raw_Data!H78</f>
        <v>14720000</v>
      </c>
      <c r="I78" s="19">
        <f>Raw_Data!I78</f>
        <v>1450000</v>
      </c>
      <c r="J78" s="19">
        <f t="shared" si="34"/>
        <v>16170000</v>
      </c>
      <c r="K78" s="19">
        <f>Raw_Data!J78</f>
        <v>16990000</v>
      </c>
      <c r="L78" s="19">
        <f>Raw_Data!K78</f>
        <v>17788413.125847701</v>
      </c>
      <c r="M78" s="19">
        <f>Raw_Data!L78</f>
        <v>15563950.4348948</v>
      </c>
      <c r="N78" s="19">
        <f>Raw_Data!M78</f>
        <v>1071445.2307591201</v>
      </c>
      <c r="O78" s="19">
        <f>Raw_Data!N78</f>
        <v>875663.61168082699</v>
      </c>
      <c r="P78" s="19">
        <f t="shared" si="35"/>
        <v>18859858.356606822</v>
      </c>
      <c r="Q78" s="19">
        <f t="shared" si="36"/>
        <v>16439614.046575626</v>
      </c>
      <c r="R78" s="19">
        <f t="shared" si="37"/>
        <v>269614.04657562636</v>
      </c>
      <c r="S78" s="20">
        <f t="shared" si="38"/>
        <v>1.6673719639803734E-2</v>
      </c>
      <c r="T78" s="20">
        <f t="shared" si="39"/>
        <v>0.22</v>
      </c>
      <c r="U78" s="20">
        <f t="shared" si="40"/>
        <v>-0.20332628036019626</v>
      </c>
      <c r="V78" s="21">
        <f t="shared" si="41"/>
        <v>4.9179986690040973</v>
      </c>
      <c r="W78" s="19">
        <f t="shared" si="42"/>
        <v>-4018175.8947905786</v>
      </c>
      <c r="X78" s="20">
        <f>IFERROR(NPV_IRR!L78,0)</f>
        <v>5.5375204538077316E-3</v>
      </c>
      <c r="Y78" s="20">
        <f t="shared" si="43"/>
        <v>0.11</v>
      </c>
      <c r="Z78" s="17" t="str">
        <f>Raw_Data!O78</f>
        <v>Completed</v>
      </c>
      <c r="AA78" s="17" t="str">
        <f>Raw_Data!P78</f>
        <v>High</v>
      </c>
      <c r="AB78" s="17" t="str">
        <f t="shared" si="44"/>
        <v>Underperforming</v>
      </c>
      <c r="AC78" s="17" t="str">
        <f t="shared" si="45"/>
        <v>Review / Restructure</v>
      </c>
      <c r="AD78" s="20">
        <f t="shared" si="46"/>
        <v>0.87494878406435173</v>
      </c>
      <c r="AE78" s="20">
        <f t="shared" si="47"/>
        <v>0.81727333002398861</v>
      </c>
      <c r="AF78" s="19">
        <f t="shared" si="48"/>
        <v>-820000</v>
      </c>
      <c r="AG78" s="22">
        <f t="shared" si="49"/>
        <v>41.638016964385656</v>
      </c>
      <c r="AH78" s="17" t="str">
        <f t="shared" si="50"/>
        <v>Significantly Below Target</v>
      </c>
    </row>
    <row r="79" spans="1:34" ht="15" customHeight="1" x14ac:dyDescent="0.25">
      <c r="A79" s="17" t="str">
        <f>Raw_Data!A79</f>
        <v>INV-075</v>
      </c>
      <c r="B79" s="17" t="str">
        <f>Raw_Data!B79</f>
        <v>Premium Product Line – East</v>
      </c>
      <c r="C79" s="17" t="str">
        <f>Raw_Data!C79</f>
        <v>Product Development</v>
      </c>
      <c r="D79" s="17" t="str">
        <f>Raw_Data!D79</f>
        <v>Operations</v>
      </c>
      <c r="E79" s="17" t="str">
        <f>Raw_Data!E79</f>
        <v>East</v>
      </c>
      <c r="F79" s="18">
        <f>Raw_Data!F79</f>
        <v>45558</v>
      </c>
      <c r="G79" s="18">
        <f>Raw_Data!G79</f>
        <v>46443</v>
      </c>
      <c r="H79" s="19">
        <f>Raw_Data!H79</f>
        <v>37740000</v>
      </c>
      <c r="I79" s="19">
        <f>Raw_Data!I79</f>
        <v>2470000</v>
      </c>
      <c r="J79" s="19">
        <f t="shared" si="34"/>
        <v>40210000</v>
      </c>
      <c r="K79" s="19">
        <f>Raw_Data!J79</f>
        <v>39320000</v>
      </c>
      <c r="L79" s="19">
        <f>Raw_Data!K79</f>
        <v>41738597.980054699</v>
      </c>
      <c r="M79" s="19">
        <f>Raw_Data!L79</f>
        <v>37210916.657219402</v>
      </c>
      <c r="N79" s="19">
        <f>Raw_Data!M79</f>
        <v>7066291.22799234</v>
      </c>
      <c r="O79" s="19">
        <f>Raw_Data!N79</f>
        <v>5591467.2931406703</v>
      </c>
      <c r="P79" s="19">
        <f t="shared" si="35"/>
        <v>48804889.20804704</v>
      </c>
      <c r="Q79" s="19">
        <f t="shared" si="36"/>
        <v>42802383.950360075</v>
      </c>
      <c r="R79" s="19">
        <f t="shared" si="37"/>
        <v>2592383.9503600746</v>
      </c>
      <c r="S79" s="20">
        <f t="shared" si="38"/>
        <v>6.4471125350909597E-2</v>
      </c>
      <c r="T79" s="20">
        <f t="shared" si="39"/>
        <v>0.24</v>
      </c>
      <c r="U79" s="20">
        <f t="shared" si="40"/>
        <v>-0.17552887464909039</v>
      </c>
      <c r="V79" s="21">
        <f t="shared" si="41"/>
        <v>4.6971682753270727</v>
      </c>
      <c r="W79" s="19">
        <f t="shared" si="42"/>
        <v>-8571359.3619153798</v>
      </c>
      <c r="X79" s="20">
        <f>IFERROR(NPV_IRR!L79,0)</f>
        <v>2.11941008964045E-2</v>
      </c>
      <c r="Y79" s="20">
        <f t="shared" si="43"/>
        <v>0.11</v>
      </c>
      <c r="Z79" s="17" t="str">
        <f>Raw_Data!O79</f>
        <v>Cancelled</v>
      </c>
      <c r="AA79" s="17" t="str">
        <f>Raw_Data!P79</f>
        <v>Medium</v>
      </c>
      <c r="AB79" s="17" t="str">
        <f t="shared" si="44"/>
        <v>Underperforming</v>
      </c>
      <c r="AC79" s="17" t="str">
        <f t="shared" si="45"/>
        <v>Review / Restructure</v>
      </c>
      <c r="AD79" s="20">
        <f t="shared" si="46"/>
        <v>0.89152291782778847</v>
      </c>
      <c r="AE79" s="20">
        <f t="shared" si="47"/>
        <v>0.79128741127887348</v>
      </c>
      <c r="AF79" s="19">
        <f t="shared" si="48"/>
        <v>890000</v>
      </c>
      <c r="AG79" s="22">
        <f t="shared" si="49"/>
        <v>43.73153879328548</v>
      </c>
      <c r="AH79" s="17" t="str">
        <f t="shared" si="50"/>
        <v>Significantly Below Target</v>
      </c>
    </row>
    <row r="80" spans="1:34" ht="15" customHeight="1" x14ac:dyDescent="0.25">
      <c r="A80" s="17" t="str">
        <f>Raw_Data!A80</f>
        <v>INV-076</v>
      </c>
      <c r="B80" s="17" t="str">
        <f>Raw_Data!B80</f>
        <v>Tier-2 City Expansion – Central</v>
      </c>
      <c r="C80" s="17" t="str">
        <f>Raw_Data!C80</f>
        <v>Expansion</v>
      </c>
      <c r="D80" s="17" t="str">
        <f>Raw_Data!D80</f>
        <v>Finance</v>
      </c>
      <c r="E80" s="17" t="str">
        <f>Raw_Data!E80</f>
        <v>Central</v>
      </c>
      <c r="F80" s="18">
        <f>Raw_Data!F80</f>
        <v>45805</v>
      </c>
      <c r="G80" s="18">
        <f>Raw_Data!G80</f>
        <v>46205</v>
      </c>
      <c r="H80" s="19">
        <f>Raw_Data!H80</f>
        <v>40080000</v>
      </c>
      <c r="I80" s="19">
        <f>Raw_Data!I80</f>
        <v>4140000</v>
      </c>
      <c r="J80" s="19">
        <f t="shared" si="34"/>
        <v>44220000</v>
      </c>
      <c r="K80" s="19">
        <f>Raw_Data!J80</f>
        <v>41570000</v>
      </c>
      <c r="L80" s="19">
        <f>Raw_Data!K80</f>
        <v>47911379.168356799</v>
      </c>
      <c r="M80" s="19">
        <f>Raw_Data!L80</f>
        <v>43588694.680481002</v>
      </c>
      <c r="N80" s="19">
        <f>Raw_Data!M80</f>
        <v>5130432.3154437896</v>
      </c>
      <c r="O80" s="19">
        <f>Raw_Data!N80</f>
        <v>4052365.7287918702</v>
      </c>
      <c r="P80" s="19">
        <f t="shared" si="35"/>
        <v>53041811.48380059</v>
      </c>
      <c r="Q80" s="19">
        <f t="shared" si="36"/>
        <v>47641060.409272872</v>
      </c>
      <c r="R80" s="19">
        <f t="shared" si="37"/>
        <v>3421060.4092728719</v>
      </c>
      <c r="S80" s="20">
        <f t="shared" si="38"/>
        <v>7.7364550187084394E-2</v>
      </c>
      <c r="T80" s="20">
        <f t="shared" si="39"/>
        <v>0.18</v>
      </c>
      <c r="U80" s="20">
        <f t="shared" si="40"/>
        <v>-0.1026354498129156</v>
      </c>
      <c r="V80" s="21">
        <f t="shared" si="41"/>
        <v>4.6409546324238624</v>
      </c>
      <c r="W80" s="19">
        <f t="shared" si="42"/>
        <v>-7158577.8383312672</v>
      </c>
      <c r="X80" s="20">
        <f>IFERROR(NPV_IRR!L80,0)</f>
        <v>2.5364734700997094E-2</v>
      </c>
      <c r="Y80" s="20">
        <f t="shared" si="43"/>
        <v>0.09</v>
      </c>
      <c r="Z80" s="17" t="str">
        <f>Raw_Data!O80</f>
        <v>On Hold</v>
      </c>
      <c r="AA80" s="17" t="str">
        <f>Raw_Data!P80</f>
        <v>Low</v>
      </c>
      <c r="AB80" s="17" t="str">
        <f t="shared" si="44"/>
        <v>Underperforming</v>
      </c>
      <c r="AC80" s="17" t="str">
        <f t="shared" si="45"/>
        <v>Review / Restructure</v>
      </c>
      <c r="AD80" s="20">
        <f t="shared" si="46"/>
        <v>0.90977749831232735</v>
      </c>
      <c r="AE80" s="20">
        <f t="shared" si="47"/>
        <v>0.78986827612817556</v>
      </c>
      <c r="AF80" s="19">
        <f t="shared" si="48"/>
        <v>2650000</v>
      </c>
      <c r="AG80" s="22">
        <f t="shared" si="49"/>
        <v>49.940915902736755</v>
      </c>
      <c r="AH80" s="17" t="str">
        <f t="shared" si="50"/>
        <v>Significantly Below Target</v>
      </c>
    </row>
    <row r="81" spans="1:34" ht="15" customHeight="1" x14ac:dyDescent="0.25">
      <c r="A81" s="17" t="str">
        <f>Raw_Data!A81</f>
        <v>INV-077</v>
      </c>
      <c r="B81" s="17" t="str">
        <f>Raw_Data!B81</f>
        <v>Automated Packaging Line – South</v>
      </c>
      <c r="C81" s="17" t="str">
        <f>Raw_Data!C81</f>
        <v>Equipment</v>
      </c>
      <c r="D81" s="17" t="str">
        <f>Raw_Data!D81</f>
        <v>Sales</v>
      </c>
      <c r="E81" s="17" t="str">
        <f>Raw_Data!E81</f>
        <v>South</v>
      </c>
      <c r="F81" s="18">
        <f>Raw_Data!F81</f>
        <v>45452</v>
      </c>
      <c r="G81" s="18">
        <f>Raw_Data!G81</f>
        <v>46064</v>
      </c>
      <c r="H81" s="19">
        <f>Raw_Data!H81</f>
        <v>35870000</v>
      </c>
      <c r="I81" s="19">
        <f>Raw_Data!I81</f>
        <v>5550000</v>
      </c>
      <c r="J81" s="19">
        <f t="shared" si="34"/>
        <v>41420000</v>
      </c>
      <c r="K81" s="19">
        <f>Raw_Data!J81</f>
        <v>42280000</v>
      </c>
      <c r="L81" s="19">
        <f>Raw_Data!K81</f>
        <v>38514715.357303597</v>
      </c>
      <c r="M81" s="19">
        <f>Raw_Data!L81</f>
        <v>34021592.255147703</v>
      </c>
      <c r="N81" s="19">
        <f>Raw_Data!M81</f>
        <v>7416191.4102464896</v>
      </c>
      <c r="O81" s="19">
        <f>Raw_Data!N81</f>
        <v>7843789.2820251901</v>
      </c>
      <c r="P81" s="19">
        <f t="shared" si="35"/>
        <v>45930906.767550088</v>
      </c>
      <c r="Q81" s="19">
        <f t="shared" si="36"/>
        <v>41865381.537172891</v>
      </c>
      <c r="R81" s="19">
        <f t="shared" si="37"/>
        <v>445381.5371728912</v>
      </c>
      <c r="S81" s="20">
        <f t="shared" si="38"/>
        <v>1.0752813548355654E-2</v>
      </c>
      <c r="T81" s="20">
        <f t="shared" si="39"/>
        <v>0.17</v>
      </c>
      <c r="U81" s="20">
        <f t="shared" si="40"/>
        <v>-0.15924718645164435</v>
      </c>
      <c r="V81" s="21">
        <f t="shared" si="41"/>
        <v>4.9468078970237697</v>
      </c>
      <c r="W81" s="19">
        <f t="shared" si="42"/>
        <v>-10473972.246801153</v>
      </c>
      <c r="X81" s="20">
        <f>IFERROR(NPV_IRR!L81,0)</f>
        <v>3.5757623824421714E-3</v>
      </c>
      <c r="Y81" s="20">
        <f t="shared" si="43"/>
        <v>0.11</v>
      </c>
      <c r="Z81" s="17" t="str">
        <f>Raw_Data!O81</f>
        <v>Active</v>
      </c>
      <c r="AA81" s="17" t="str">
        <f>Raw_Data!P81</f>
        <v>High</v>
      </c>
      <c r="AB81" s="17" t="str">
        <f t="shared" si="44"/>
        <v>Underperforming</v>
      </c>
      <c r="AC81" s="17" t="str">
        <f t="shared" si="45"/>
        <v>Review / Restructure</v>
      </c>
      <c r="AD81" s="20">
        <f t="shared" si="46"/>
        <v>0.88334009324818086</v>
      </c>
      <c r="AE81" s="20">
        <f t="shared" si="47"/>
        <v>1.0576573402876193</v>
      </c>
      <c r="AF81" s="19">
        <f t="shared" si="48"/>
        <v>-860000</v>
      </c>
      <c r="AG81" s="22">
        <f t="shared" si="49"/>
        <v>46.260159885062166</v>
      </c>
      <c r="AH81" s="17" t="str">
        <f t="shared" si="50"/>
        <v>Significantly Below Target</v>
      </c>
    </row>
    <row r="82" spans="1:34" ht="15" customHeight="1" x14ac:dyDescent="0.25">
      <c r="A82" s="17" t="str">
        <f>Raw_Data!A82</f>
        <v>INV-078</v>
      </c>
      <c r="B82" s="17" t="str">
        <f>Raw_Data!B82</f>
        <v>RPA Finance Rollout – West</v>
      </c>
      <c r="C82" s="17" t="str">
        <f>Raw_Data!C82</f>
        <v>Automation</v>
      </c>
      <c r="D82" s="17" t="str">
        <f>Raw_Data!D82</f>
        <v>IT</v>
      </c>
      <c r="E82" s="17" t="str">
        <f>Raw_Data!E82</f>
        <v>West</v>
      </c>
      <c r="F82" s="18">
        <f>Raw_Data!F82</f>
        <v>45547</v>
      </c>
      <c r="G82" s="18">
        <f>Raw_Data!G82</f>
        <v>46234</v>
      </c>
      <c r="H82" s="19">
        <f>Raw_Data!H82</f>
        <v>23540000</v>
      </c>
      <c r="I82" s="19">
        <f>Raw_Data!I82</f>
        <v>3670000</v>
      </c>
      <c r="J82" s="19">
        <f t="shared" si="34"/>
        <v>27210000</v>
      </c>
      <c r="K82" s="19">
        <f>Raw_Data!J82</f>
        <v>29320000</v>
      </c>
      <c r="L82" s="19">
        <f>Raw_Data!K82</f>
        <v>31431921.666196801</v>
      </c>
      <c r="M82" s="19">
        <f>Raw_Data!L82</f>
        <v>32014521.385505199</v>
      </c>
      <c r="N82" s="19">
        <f>Raw_Data!M82</f>
        <v>1835300.3978005799</v>
      </c>
      <c r="O82" s="19">
        <f>Raw_Data!N82</f>
        <v>1465242.4678330701</v>
      </c>
      <c r="P82" s="19">
        <f t="shared" si="35"/>
        <v>33267222.06399738</v>
      </c>
      <c r="Q82" s="19">
        <f t="shared" si="36"/>
        <v>33479763.853338271</v>
      </c>
      <c r="R82" s="19">
        <f t="shared" si="37"/>
        <v>6269763.8533382714</v>
      </c>
      <c r="S82" s="20">
        <f t="shared" si="38"/>
        <v>0.2304213103027663</v>
      </c>
      <c r="T82" s="20">
        <f t="shared" si="39"/>
        <v>0.25</v>
      </c>
      <c r="U82" s="20">
        <f t="shared" si="40"/>
        <v>-1.9578689697233698E-2</v>
      </c>
      <c r="V82" s="21">
        <f t="shared" si="41"/>
        <v>4.0636487340825269</v>
      </c>
      <c r="W82" s="19">
        <f t="shared" si="42"/>
        <v>-2462448.1245677471</v>
      </c>
      <c r="X82" s="20">
        <f>IFERROR(NPV_IRR!L82,0)</f>
        <v>7.3352956459350027E-2</v>
      </c>
      <c r="Y82" s="20">
        <f t="shared" si="43"/>
        <v>0.11</v>
      </c>
      <c r="Z82" s="17" t="str">
        <f>Raw_Data!O82</f>
        <v>Completed</v>
      </c>
      <c r="AA82" s="17" t="str">
        <f>Raw_Data!P82</f>
        <v>Medium</v>
      </c>
      <c r="AB82" s="17" t="str">
        <f t="shared" si="44"/>
        <v>Watch</v>
      </c>
      <c r="AC82" s="17" t="str">
        <f t="shared" si="45"/>
        <v>Review / Restructure</v>
      </c>
      <c r="AD82" s="20">
        <f t="shared" si="46"/>
        <v>1.0185352879628404</v>
      </c>
      <c r="AE82" s="20">
        <f t="shared" si="47"/>
        <v>0.79836656145719442</v>
      </c>
      <c r="AF82" s="19">
        <f t="shared" si="48"/>
        <v>-2110000</v>
      </c>
      <c r="AG82" s="22">
        <f t="shared" si="49"/>
        <v>58.438560403219959</v>
      </c>
      <c r="AH82" s="17" t="str">
        <f t="shared" si="50"/>
        <v>Below Target</v>
      </c>
    </row>
    <row r="83" spans="1:34" ht="15" customHeight="1" x14ac:dyDescent="0.25">
      <c r="A83" s="17" t="str">
        <f>Raw_Data!A83</f>
        <v>INV-079</v>
      </c>
      <c r="B83" s="17" t="str">
        <f>Raw_Data!B83</f>
        <v>Leadership Development – North</v>
      </c>
      <c r="C83" s="17" t="str">
        <f>Raw_Data!C83</f>
        <v>Training</v>
      </c>
      <c r="D83" s="17" t="str">
        <f>Raw_Data!D83</f>
        <v>Product</v>
      </c>
      <c r="E83" s="17" t="str">
        <f>Raw_Data!E83</f>
        <v>North</v>
      </c>
      <c r="F83" s="18">
        <f>Raw_Data!F83</f>
        <v>45870</v>
      </c>
      <c r="G83" s="18">
        <f>Raw_Data!G83</f>
        <v>46629</v>
      </c>
      <c r="H83" s="19">
        <f>Raw_Data!H83</f>
        <v>10900000</v>
      </c>
      <c r="I83" s="19">
        <f>Raw_Data!I83</f>
        <v>810000</v>
      </c>
      <c r="J83" s="19">
        <f t="shared" si="34"/>
        <v>11710000</v>
      </c>
      <c r="K83" s="19">
        <f>Raw_Data!J83</f>
        <v>12310000</v>
      </c>
      <c r="L83" s="19">
        <f>Raw_Data!K83</f>
        <v>12117147.1183709</v>
      </c>
      <c r="M83" s="19">
        <f>Raw_Data!L83</f>
        <v>9974889.0941855703</v>
      </c>
      <c r="N83" s="19">
        <f>Raw_Data!M83</f>
        <v>1648464.9145448999</v>
      </c>
      <c r="O83" s="19">
        <f>Raw_Data!N83</f>
        <v>1658236.3568249401</v>
      </c>
      <c r="P83" s="19">
        <f t="shared" si="35"/>
        <v>13765612.032915801</v>
      </c>
      <c r="Q83" s="19">
        <f t="shared" si="36"/>
        <v>11633125.45101051</v>
      </c>
      <c r="R83" s="19">
        <f t="shared" si="37"/>
        <v>-76874.548989489675</v>
      </c>
      <c r="S83" s="20">
        <f t="shared" si="38"/>
        <v>-6.564863278350954E-3</v>
      </c>
      <c r="T83" s="20">
        <f t="shared" si="39"/>
        <v>0.15</v>
      </c>
      <c r="U83" s="20">
        <f t="shared" si="40"/>
        <v>-0.15656486327835095</v>
      </c>
      <c r="V83" s="21">
        <f t="shared" si="41"/>
        <v>5.033041227533058</v>
      </c>
      <c r="W83" s="19">
        <f t="shared" si="42"/>
        <v>-3111033.267933635</v>
      </c>
      <c r="X83" s="20">
        <f>IFERROR(NPV_IRR!L83,0)</f>
        <v>-2.1914930273437827E-3</v>
      </c>
      <c r="Y83" s="20">
        <f t="shared" si="43"/>
        <v>0.11</v>
      </c>
      <c r="Z83" s="17" t="str">
        <f>Raw_Data!O83</f>
        <v>Cancelled</v>
      </c>
      <c r="AA83" s="17" t="str">
        <f>Raw_Data!P83</f>
        <v>Low</v>
      </c>
      <c r="AB83" s="17" t="str">
        <f t="shared" si="44"/>
        <v>Underperforming</v>
      </c>
      <c r="AC83" s="17" t="str">
        <f t="shared" si="45"/>
        <v>Review / Restructure</v>
      </c>
      <c r="AD83" s="20">
        <f t="shared" si="46"/>
        <v>0.82320442235636182</v>
      </c>
      <c r="AE83" s="20">
        <f t="shared" si="47"/>
        <v>1.0059276010024987</v>
      </c>
      <c r="AF83" s="19">
        <f t="shared" si="48"/>
        <v>-600000</v>
      </c>
      <c r="AG83" s="22">
        <f t="shared" si="49"/>
        <v>46.836448055724915</v>
      </c>
      <c r="AH83" s="17" t="str">
        <f t="shared" si="50"/>
        <v>Significantly Below Target</v>
      </c>
    </row>
    <row r="84" spans="1:34" ht="15" customHeight="1" x14ac:dyDescent="0.25">
      <c r="A84" s="17" t="str">
        <f>Raw_Data!A84</f>
        <v>INV-080</v>
      </c>
      <c r="B84" s="17" t="str">
        <f>Raw_Data!B84</f>
        <v>Plant Utility Upgrade – East</v>
      </c>
      <c r="C84" s="17" t="str">
        <f>Raw_Data!C84</f>
        <v>Infrastructure</v>
      </c>
      <c r="D84" s="17" t="str">
        <f>Raw_Data!D84</f>
        <v>Marketing</v>
      </c>
      <c r="E84" s="17" t="str">
        <f>Raw_Data!E84</f>
        <v>East</v>
      </c>
      <c r="F84" s="18">
        <f>Raw_Data!F84</f>
        <v>45850</v>
      </c>
      <c r="G84" s="18">
        <f>Raw_Data!G84</f>
        <v>46073</v>
      </c>
      <c r="H84" s="19">
        <f>Raw_Data!H84</f>
        <v>49710000</v>
      </c>
      <c r="I84" s="19">
        <f>Raw_Data!I84</f>
        <v>2080000</v>
      </c>
      <c r="J84" s="19">
        <f t="shared" si="34"/>
        <v>51790000</v>
      </c>
      <c r="K84" s="19">
        <f>Raw_Data!J84</f>
        <v>54730000</v>
      </c>
      <c r="L84" s="19">
        <f>Raw_Data!K84</f>
        <v>48511620.268629901</v>
      </c>
      <c r="M84" s="19">
        <f>Raw_Data!L84</f>
        <v>50012310.679176196</v>
      </c>
      <c r="N84" s="19">
        <f>Raw_Data!M84</f>
        <v>7975628.4161254801</v>
      </c>
      <c r="O84" s="19">
        <f>Raw_Data!N84</f>
        <v>7129374.0572588099</v>
      </c>
      <c r="P84" s="19">
        <f t="shared" si="35"/>
        <v>56487248.684755385</v>
      </c>
      <c r="Q84" s="19">
        <f t="shared" si="36"/>
        <v>57141684.736435004</v>
      </c>
      <c r="R84" s="19">
        <f t="shared" si="37"/>
        <v>5351684.7364350036</v>
      </c>
      <c r="S84" s="20">
        <f t="shared" si="38"/>
        <v>0.10333432586281142</v>
      </c>
      <c r="T84" s="20">
        <f t="shared" si="39"/>
        <v>0.13</v>
      </c>
      <c r="U84" s="20">
        <f t="shared" si="40"/>
        <v>-2.666567413718858E-2</v>
      </c>
      <c r="V84" s="21">
        <f t="shared" si="41"/>
        <v>4.531717977767058</v>
      </c>
      <c r="W84" s="19">
        <f t="shared" si="42"/>
        <v>-10593402.940039672</v>
      </c>
      <c r="X84" s="20">
        <f>IFERROR(NPV_IRR!L84,0)</f>
        <v>3.3700460718595782E-2</v>
      </c>
      <c r="Y84" s="20">
        <f t="shared" si="43"/>
        <v>0.12</v>
      </c>
      <c r="Z84" s="17" t="str">
        <f>Raw_Data!O84</f>
        <v>On Hold</v>
      </c>
      <c r="AA84" s="17" t="str">
        <f>Raw_Data!P84</f>
        <v>High</v>
      </c>
      <c r="AB84" s="17" t="str">
        <f t="shared" si="44"/>
        <v>Watch</v>
      </c>
      <c r="AC84" s="17" t="str">
        <f t="shared" si="45"/>
        <v>Review / Restructure</v>
      </c>
      <c r="AD84" s="20">
        <f t="shared" si="46"/>
        <v>1.0309346585877017</v>
      </c>
      <c r="AE84" s="20">
        <f t="shared" si="47"/>
        <v>0.89389496166149418</v>
      </c>
      <c r="AF84" s="19">
        <f t="shared" si="48"/>
        <v>-2940000</v>
      </c>
      <c r="AG84" s="22">
        <f t="shared" si="49"/>
        <v>57.576792514467471</v>
      </c>
      <c r="AH84" s="17" t="str">
        <f t="shared" si="50"/>
        <v>Below Target</v>
      </c>
    </row>
    <row r="85" spans="1:34" ht="15" customHeight="1" x14ac:dyDescent="0.25">
      <c r="A85" s="17" t="str">
        <f>Raw_Data!A85</f>
        <v>INV-081</v>
      </c>
      <c r="B85" s="17" t="str">
        <f>Raw_Data!B85</f>
        <v>ERP Cloud Migration – Central</v>
      </c>
      <c r="C85" s="17" t="str">
        <f>Raw_Data!C85</f>
        <v>Technology</v>
      </c>
      <c r="D85" s="17" t="str">
        <f>Raw_Data!D85</f>
        <v>HR</v>
      </c>
      <c r="E85" s="17" t="str">
        <f>Raw_Data!E85</f>
        <v>Central</v>
      </c>
      <c r="F85" s="18">
        <f>Raw_Data!F85</f>
        <v>45484</v>
      </c>
      <c r="G85" s="18">
        <f>Raw_Data!G85</f>
        <v>45950</v>
      </c>
      <c r="H85" s="19">
        <f>Raw_Data!H85</f>
        <v>20040000</v>
      </c>
      <c r="I85" s="19">
        <f>Raw_Data!I85</f>
        <v>820000</v>
      </c>
      <c r="J85" s="19">
        <f t="shared" si="34"/>
        <v>20860000</v>
      </c>
      <c r="K85" s="19">
        <f>Raw_Data!J85</f>
        <v>19190000</v>
      </c>
      <c r="L85" s="19">
        <f>Raw_Data!K85</f>
        <v>20892766.681054901</v>
      </c>
      <c r="M85" s="19">
        <f>Raw_Data!L85</f>
        <v>20848093.633750599</v>
      </c>
      <c r="N85" s="19">
        <f>Raw_Data!M85</f>
        <v>3583004.7453334201</v>
      </c>
      <c r="O85" s="19">
        <f>Raw_Data!N85</f>
        <v>4055179.8176993998</v>
      </c>
      <c r="P85" s="19">
        <f t="shared" si="35"/>
        <v>24475771.426388323</v>
      </c>
      <c r="Q85" s="19">
        <f t="shared" si="36"/>
        <v>24903273.451449998</v>
      </c>
      <c r="R85" s="19">
        <f t="shared" si="37"/>
        <v>4043273.4514499977</v>
      </c>
      <c r="S85" s="20">
        <f t="shared" si="38"/>
        <v>0.19382902451821657</v>
      </c>
      <c r="T85" s="20">
        <f t="shared" si="39"/>
        <v>0.2</v>
      </c>
      <c r="U85" s="20">
        <f t="shared" si="40"/>
        <v>-6.1709754817834417E-3</v>
      </c>
      <c r="V85" s="21">
        <f t="shared" si="41"/>
        <v>4.1882044223357759</v>
      </c>
      <c r="W85" s="19">
        <f t="shared" si="42"/>
        <v>-1979400.0970565416</v>
      </c>
      <c r="X85" s="20">
        <f>IFERROR(NPV_IRR!L85,0)</f>
        <v>6.211790618387325E-2</v>
      </c>
      <c r="Y85" s="20">
        <f t="shared" si="43"/>
        <v>0.1</v>
      </c>
      <c r="Z85" s="17" t="str">
        <f>Raw_Data!O85</f>
        <v>Active</v>
      </c>
      <c r="AA85" s="17" t="str">
        <f>Raw_Data!P85</f>
        <v>Medium</v>
      </c>
      <c r="AB85" s="17" t="str">
        <f t="shared" si="44"/>
        <v>Watch</v>
      </c>
      <c r="AC85" s="17" t="str">
        <f t="shared" si="45"/>
        <v>Review / Restructure</v>
      </c>
      <c r="AD85" s="20">
        <f t="shared" si="46"/>
        <v>0.99786179360607086</v>
      </c>
      <c r="AE85" s="20">
        <f t="shared" si="47"/>
        <v>1.1317818718998209</v>
      </c>
      <c r="AF85" s="19">
        <f t="shared" si="48"/>
        <v>1670000</v>
      </c>
      <c r="AG85" s="22">
        <f t="shared" si="49"/>
        <v>58.567525850136121</v>
      </c>
      <c r="AH85" s="17" t="str">
        <f t="shared" si="50"/>
        <v>On Target</v>
      </c>
    </row>
    <row r="86" spans="1:34" ht="15" customHeight="1" x14ac:dyDescent="0.25">
      <c r="A86" s="17" t="str">
        <f>Raw_Data!A86</f>
        <v>INV-082</v>
      </c>
      <c r="B86" s="17" t="str">
        <f>Raw_Data!B86</f>
        <v>Brand Repositioning – South</v>
      </c>
      <c r="C86" s="17" t="str">
        <f>Raw_Data!C86</f>
        <v>Marketing</v>
      </c>
      <c r="D86" s="17" t="str">
        <f>Raw_Data!D86</f>
        <v>Supply Chain</v>
      </c>
      <c r="E86" s="17" t="str">
        <f>Raw_Data!E86</f>
        <v>South</v>
      </c>
      <c r="F86" s="18">
        <f>Raw_Data!F86</f>
        <v>45857</v>
      </c>
      <c r="G86" s="18">
        <f>Raw_Data!G86</f>
        <v>46304</v>
      </c>
      <c r="H86" s="19">
        <f>Raw_Data!H86</f>
        <v>16460000</v>
      </c>
      <c r="I86" s="19">
        <f>Raw_Data!I86</f>
        <v>1160000</v>
      </c>
      <c r="J86" s="19">
        <f t="shared" si="34"/>
        <v>17620000</v>
      </c>
      <c r="K86" s="19">
        <f>Raw_Data!J86</f>
        <v>16530000</v>
      </c>
      <c r="L86" s="19">
        <f>Raw_Data!K86</f>
        <v>19178873.898823101</v>
      </c>
      <c r="M86" s="19">
        <f>Raw_Data!L86</f>
        <v>18761422.854258802</v>
      </c>
      <c r="N86" s="19">
        <f>Raw_Data!M86</f>
        <v>3109341.55054879</v>
      </c>
      <c r="O86" s="19">
        <f>Raw_Data!N86</f>
        <v>2623187.64460003</v>
      </c>
      <c r="P86" s="19">
        <f t="shared" si="35"/>
        <v>22288215.449371889</v>
      </c>
      <c r="Q86" s="19">
        <f t="shared" si="36"/>
        <v>21384610.498858832</v>
      </c>
      <c r="R86" s="19">
        <f t="shared" si="37"/>
        <v>3764610.4988588318</v>
      </c>
      <c r="S86" s="20">
        <f t="shared" si="38"/>
        <v>0.213655533419911</v>
      </c>
      <c r="T86" s="20">
        <f t="shared" si="39"/>
        <v>0.22</v>
      </c>
      <c r="U86" s="20">
        <f t="shared" si="40"/>
        <v>-6.3444665800889977E-3</v>
      </c>
      <c r="V86" s="21">
        <f t="shared" si="41"/>
        <v>4.1197851139117718</v>
      </c>
      <c r="W86" s="19">
        <f t="shared" si="42"/>
        <v>-1407100.290394593</v>
      </c>
      <c r="X86" s="20">
        <f>IFERROR(NPV_IRR!L86,0)</f>
        <v>6.8222547121640442E-2</v>
      </c>
      <c r="Y86" s="20">
        <f t="shared" si="43"/>
        <v>0.1</v>
      </c>
      <c r="Z86" s="17" t="str">
        <f>Raw_Data!O86</f>
        <v>Completed</v>
      </c>
      <c r="AA86" s="17" t="str">
        <f>Raw_Data!P86</f>
        <v>Low</v>
      </c>
      <c r="AB86" s="17" t="str">
        <f t="shared" si="44"/>
        <v>Watch</v>
      </c>
      <c r="AC86" s="17" t="str">
        <f t="shared" si="45"/>
        <v>Review / Restructure</v>
      </c>
      <c r="AD86" s="20">
        <f t="shared" si="46"/>
        <v>0.97823380836817975</v>
      </c>
      <c r="AE86" s="20">
        <f t="shared" si="47"/>
        <v>0.8436473130901444</v>
      </c>
      <c r="AF86" s="19">
        <f t="shared" si="48"/>
        <v>1090000</v>
      </c>
      <c r="AG86" s="22">
        <f t="shared" si="49"/>
        <v>58.494342756383489</v>
      </c>
      <c r="AH86" s="17" t="str">
        <f t="shared" si="50"/>
        <v>On Target</v>
      </c>
    </row>
    <row r="87" spans="1:34" ht="15" customHeight="1" x14ac:dyDescent="0.25">
      <c r="A87" s="17" t="str">
        <f>Raw_Data!A87</f>
        <v>INV-083</v>
      </c>
      <c r="B87" s="17" t="str">
        <f>Raw_Data!B87</f>
        <v>Premium Product Line – West</v>
      </c>
      <c r="C87" s="17" t="str">
        <f>Raw_Data!C87</f>
        <v>Product Development</v>
      </c>
      <c r="D87" s="17" t="str">
        <f>Raw_Data!D87</f>
        <v>Operations</v>
      </c>
      <c r="E87" s="17" t="str">
        <f>Raw_Data!E87</f>
        <v>West</v>
      </c>
      <c r="F87" s="18">
        <f>Raw_Data!F87</f>
        <v>45951</v>
      </c>
      <c r="G87" s="18">
        <f>Raw_Data!G87</f>
        <v>46190</v>
      </c>
      <c r="H87" s="19">
        <f>Raw_Data!H87</f>
        <v>39000000</v>
      </c>
      <c r="I87" s="19">
        <f>Raw_Data!I87</f>
        <v>2940000</v>
      </c>
      <c r="J87" s="19">
        <f t="shared" si="34"/>
        <v>41940000</v>
      </c>
      <c r="K87" s="19">
        <f>Raw_Data!J87</f>
        <v>45160000</v>
      </c>
      <c r="L87" s="19">
        <f>Raw_Data!K87</f>
        <v>46492731.977819897</v>
      </c>
      <c r="M87" s="19">
        <f>Raw_Data!L87</f>
        <v>41842185.507361799</v>
      </c>
      <c r="N87" s="19">
        <f>Raw_Data!M87</f>
        <v>2878777.54846241</v>
      </c>
      <c r="O87" s="19">
        <f>Raw_Data!N87</f>
        <v>2164834.9433575901</v>
      </c>
      <c r="P87" s="19">
        <f t="shared" si="35"/>
        <v>49371509.52628231</v>
      </c>
      <c r="Q87" s="19">
        <f t="shared" si="36"/>
        <v>44007020.450719386</v>
      </c>
      <c r="R87" s="19">
        <f t="shared" si="37"/>
        <v>2067020.4507193863</v>
      </c>
      <c r="S87" s="20">
        <f t="shared" si="38"/>
        <v>4.9285180036227616E-2</v>
      </c>
      <c r="T87" s="20">
        <f t="shared" si="39"/>
        <v>0.24</v>
      </c>
      <c r="U87" s="20">
        <f t="shared" si="40"/>
        <v>-0.19071481996377238</v>
      </c>
      <c r="V87" s="21">
        <f t="shared" si="41"/>
        <v>4.765148784267943</v>
      </c>
      <c r="W87" s="19">
        <f t="shared" si="42"/>
        <v>-10212907.988627363</v>
      </c>
      <c r="X87" s="20">
        <f>IFERROR(NPV_IRR!L87,0)</f>
        <v>1.6253707022439112E-2</v>
      </c>
      <c r="Y87" s="20">
        <f t="shared" si="43"/>
        <v>0.12</v>
      </c>
      <c r="Z87" s="17" t="str">
        <f>Raw_Data!O87</f>
        <v>Cancelled</v>
      </c>
      <c r="AA87" s="17" t="str">
        <f>Raw_Data!P87</f>
        <v>High</v>
      </c>
      <c r="AB87" s="17" t="str">
        <f t="shared" si="44"/>
        <v>Underperforming</v>
      </c>
      <c r="AC87" s="17" t="str">
        <f t="shared" si="45"/>
        <v>Review / Restructure</v>
      </c>
      <c r="AD87" s="20">
        <f t="shared" si="46"/>
        <v>0.89997261351136093</v>
      </c>
      <c r="AE87" s="20">
        <f t="shared" si="47"/>
        <v>0.75199799460498595</v>
      </c>
      <c r="AF87" s="19">
        <f t="shared" si="48"/>
        <v>-3220000</v>
      </c>
      <c r="AG87" s="22">
        <f t="shared" si="49"/>
        <v>42.07979346752748</v>
      </c>
      <c r="AH87" s="17" t="str">
        <f t="shared" si="50"/>
        <v>Significantly Below Target</v>
      </c>
    </row>
    <row r="88" spans="1:34" ht="15" customHeight="1" x14ac:dyDescent="0.25">
      <c r="A88" s="17" t="str">
        <f>Raw_Data!A88</f>
        <v>INV-084</v>
      </c>
      <c r="B88" s="17" t="str">
        <f>Raw_Data!B88</f>
        <v>Tier-2 City Expansion – North</v>
      </c>
      <c r="C88" s="17" t="str">
        <f>Raw_Data!C88</f>
        <v>Expansion</v>
      </c>
      <c r="D88" s="17" t="str">
        <f>Raw_Data!D88</f>
        <v>Finance</v>
      </c>
      <c r="E88" s="17" t="str">
        <f>Raw_Data!E88</f>
        <v>North</v>
      </c>
      <c r="F88" s="18">
        <f>Raw_Data!F88</f>
        <v>46028</v>
      </c>
      <c r="G88" s="18">
        <f>Raw_Data!G88</f>
        <v>46520</v>
      </c>
      <c r="H88" s="19">
        <f>Raw_Data!H88</f>
        <v>37420000</v>
      </c>
      <c r="I88" s="19">
        <f>Raw_Data!I88</f>
        <v>80000</v>
      </c>
      <c r="J88" s="19">
        <f t="shared" si="34"/>
        <v>37500000</v>
      </c>
      <c r="K88" s="19">
        <f>Raw_Data!J88</f>
        <v>35540000</v>
      </c>
      <c r="L88" s="19">
        <f>Raw_Data!K88</f>
        <v>37970923.846954703</v>
      </c>
      <c r="M88" s="19">
        <f>Raw_Data!L88</f>
        <v>36666742.894333899</v>
      </c>
      <c r="N88" s="19">
        <f>Raw_Data!M88</f>
        <v>7491922.7637331104</v>
      </c>
      <c r="O88" s="19">
        <f>Raw_Data!N88</f>
        <v>8028296.9958164198</v>
      </c>
      <c r="P88" s="19">
        <f t="shared" si="35"/>
        <v>45462846.610687815</v>
      </c>
      <c r="Q88" s="19">
        <f t="shared" si="36"/>
        <v>44695039.890150316</v>
      </c>
      <c r="R88" s="19">
        <f t="shared" si="37"/>
        <v>7195039.8901503161</v>
      </c>
      <c r="S88" s="20">
        <f t="shared" si="38"/>
        <v>0.19186773040400842</v>
      </c>
      <c r="T88" s="20">
        <f t="shared" si="39"/>
        <v>0.18</v>
      </c>
      <c r="U88" s="20">
        <f t="shared" si="40"/>
        <v>1.1867730404008431E-2</v>
      </c>
      <c r="V88" s="21">
        <f t="shared" si="41"/>
        <v>4.1950963789456281</v>
      </c>
      <c r="W88" s="19">
        <f t="shared" si="42"/>
        <v>-2730376.3251442984</v>
      </c>
      <c r="X88" s="20">
        <f>IFERROR(NPV_IRR!L88,0)</f>
        <v>6.1511756968570364E-2</v>
      </c>
      <c r="Y88" s="20">
        <f t="shared" si="43"/>
        <v>0.09</v>
      </c>
      <c r="Z88" s="17" t="str">
        <f>Raw_Data!O88</f>
        <v>On Hold</v>
      </c>
      <c r="AA88" s="17" t="str">
        <f>Raw_Data!P88</f>
        <v>Medium</v>
      </c>
      <c r="AB88" s="17" t="str">
        <f t="shared" si="44"/>
        <v>Watch</v>
      </c>
      <c r="AC88" s="17" t="str">
        <f t="shared" si="45"/>
        <v>Review / Restructure</v>
      </c>
      <c r="AD88" s="20">
        <f t="shared" si="46"/>
        <v>0.96565316772703702</v>
      </c>
      <c r="AE88" s="20">
        <f t="shared" si="47"/>
        <v>1.0715936681408129</v>
      </c>
      <c r="AF88" s="19">
        <f t="shared" si="48"/>
        <v>1960000</v>
      </c>
      <c r="AG88" s="22">
        <f t="shared" si="49"/>
        <v>61.042210499990659</v>
      </c>
      <c r="AH88" s="17" t="str">
        <f t="shared" si="50"/>
        <v>On Target</v>
      </c>
    </row>
    <row r="89" spans="1:34" ht="15" customHeight="1" x14ac:dyDescent="0.25">
      <c r="A89" s="17" t="str">
        <f>Raw_Data!A89</f>
        <v>INV-085</v>
      </c>
      <c r="B89" s="17" t="str">
        <f>Raw_Data!B89</f>
        <v>Automated Packaging Line – East</v>
      </c>
      <c r="C89" s="17" t="str">
        <f>Raw_Data!C89</f>
        <v>Equipment</v>
      </c>
      <c r="D89" s="17" t="str">
        <f>Raw_Data!D89</f>
        <v>Sales</v>
      </c>
      <c r="E89" s="17" t="str">
        <f>Raw_Data!E89</f>
        <v>East</v>
      </c>
      <c r="F89" s="18">
        <f>Raw_Data!F89</f>
        <v>45399</v>
      </c>
      <c r="G89" s="18">
        <f>Raw_Data!G89</f>
        <v>46195</v>
      </c>
      <c r="H89" s="19">
        <f>Raw_Data!H89</f>
        <v>39330000</v>
      </c>
      <c r="I89" s="19">
        <f>Raw_Data!I89</f>
        <v>1850000</v>
      </c>
      <c r="J89" s="19">
        <f t="shared" si="34"/>
        <v>41180000</v>
      </c>
      <c r="K89" s="19">
        <f>Raw_Data!J89</f>
        <v>41570000</v>
      </c>
      <c r="L89" s="19">
        <f>Raw_Data!K89</f>
        <v>46046995.935622901</v>
      </c>
      <c r="M89" s="19">
        <f>Raw_Data!L89</f>
        <v>46250172.809498698</v>
      </c>
      <c r="N89" s="19">
        <f>Raw_Data!M89</f>
        <v>3229461.1255916799</v>
      </c>
      <c r="O89" s="19">
        <f>Raw_Data!N89</f>
        <v>2606044.3244012501</v>
      </c>
      <c r="P89" s="19">
        <f t="shared" si="35"/>
        <v>49276457.061214581</v>
      </c>
      <c r="Q89" s="19">
        <f t="shared" si="36"/>
        <v>48856217.133899949</v>
      </c>
      <c r="R89" s="19">
        <f t="shared" si="37"/>
        <v>7676217.1338999495</v>
      </c>
      <c r="S89" s="20">
        <f t="shared" si="38"/>
        <v>0.18640643841427754</v>
      </c>
      <c r="T89" s="20">
        <f t="shared" si="39"/>
        <v>0.17</v>
      </c>
      <c r="U89" s="20">
        <f t="shared" si="40"/>
        <v>1.6406438414277524E-2</v>
      </c>
      <c r="V89" s="21">
        <f t="shared" si="41"/>
        <v>4.2144073380812737</v>
      </c>
      <c r="W89" s="19">
        <f t="shared" si="42"/>
        <v>-5066490.5602369085</v>
      </c>
      <c r="X89" s="20">
        <f>IFERROR(NPV_IRR!L89,0)</f>
        <v>5.9821738029205207E-2</v>
      </c>
      <c r="Y89" s="20">
        <f t="shared" si="43"/>
        <v>0.11</v>
      </c>
      <c r="Z89" s="17" t="str">
        <f>Raw_Data!O89</f>
        <v>Active</v>
      </c>
      <c r="AA89" s="17" t="str">
        <f>Raw_Data!P89</f>
        <v>Low</v>
      </c>
      <c r="AB89" s="17" t="str">
        <f t="shared" si="44"/>
        <v>Watch</v>
      </c>
      <c r="AC89" s="17" t="str">
        <f t="shared" si="45"/>
        <v>Review / Restructure</v>
      </c>
      <c r="AD89" s="20">
        <f t="shared" si="46"/>
        <v>1.0044123806504088</v>
      </c>
      <c r="AE89" s="20">
        <f t="shared" si="47"/>
        <v>0.806959496663329</v>
      </c>
      <c r="AF89" s="19">
        <f t="shared" si="48"/>
        <v>-390000</v>
      </c>
      <c r="AG89" s="22">
        <f t="shared" si="49"/>
        <v>61.997418876695875</v>
      </c>
      <c r="AH89" s="17" t="str">
        <f t="shared" si="50"/>
        <v>Above Target</v>
      </c>
    </row>
    <row r="90" spans="1:34" ht="15" customHeight="1" x14ac:dyDescent="0.25">
      <c r="A90" s="17" t="str">
        <f>Raw_Data!A90</f>
        <v>INV-086</v>
      </c>
      <c r="B90" s="17" t="str">
        <f>Raw_Data!B90</f>
        <v>RPA Finance Rollout – Central</v>
      </c>
      <c r="C90" s="17" t="str">
        <f>Raw_Data!C90</f>
        <v>Automation</v>
      </c>
      <c r="D90" s="17" t="str">
        <f>Raw_Data!D90</f>
        <v>IT</v>
      </c>
      <c r="E90" s="17" t="str">
        <f>Raw_Data!E90</f>
        <v>Central</v>
      </c>
      <c r="F90" s="18">
        <f>Raw_Data!F90</f>
        <v>45584</v>
      </c>
      <c r="G90" s="18">
        <f>Raw_Data!G90</f>
        <v>46482</v>
      </c>
      <c r="H90" s="19">
        <f>Raw_Data!H90</f>
        <v>25380000</v>
      </c>
      <c r="I90" s="19">
        <f>Raw_Data!I90</f>
        <v>4420000</v>
      </c>
      <c r="J90" s="19">
        <f t="shared" si="34"/>
        <v>29800000</v>
      </c>
      <c r="K90" s="19">
        <f>Raw_Data!J90</f>
        <v>28290000</v>
      </c>
      <c r="L90" s="19">
        <f>Raw_Data!K90</f>
        <v>35530987.761895403</v>
      </c>
      <c r="M90" s="19">
        <f>Raw_Data!L90</f>
        <v>35356540.661020197</v>
      </c>
      <c r="N90" s="19">
        <f>Raw_Data!M90</f>
        <v>1202380.1698572</v>
      </c>
      <c r="O90" s="19">
        <f>Raw_Data!N90</f>
        <v>940397.07824696205</v>
      </c>
      <c r="P90" s="19">
        <f t="shared" si="35"/>
        <v>36733367.9317526</v>
      </c>
      <c r="Q90" s="19">
        <f t="shared" si="36"/>
        <v>36296937.739267156</v>
      </c>
      <c r="R90" s="19">
        <f t="shared" si="37"/>
        <v>6496937.7392671555</v>
      </c>
      <c r="S90" s="20">
        <f t="shared" si="38"/>
        <v>0.21801804494185087</v>
      </c>
      <c r="T90" s="20">
        <f t="shared" si="39"/>
        <v>0.25</v>
      </c>
      <c r="U90" s="20">
        <f t="shared" si="40"/>
        <v>-3.1981955058149131E-2</v>
      </c>
      <c r="V90" s="21">
        <f t="shared" si="41"/>
        <v>4.105029495058675</v>
      </c>
      <c r="W90" s="19">
        <f t="shared" si="42"/>
        <v>-2970051.2119268477</v>
      </c>
      <c r="X90" s="20">
        <f>IFERROR(NPV_IRR!L90,0)</f>
        <v>6.9560268917493229E-2</v>
      </c>
      <c r="Y90" s="20">
        <f t="shared" si="43"/>
        <v>0.11</v>
      </c>
      <c r="Z90" s="17" t="str">
        <f>Raw_Data!O90</f>
        <v>Completed</v>
      </c>
      <c r="AA90" s="17" t="str">
        <f>Raw_Data!P90</f>
        <v>High</v>
      </c>
      <c r="AB90" s="17" t="str">
        <f t="shared" si="44"/>
        <v>Watch</v>
      </c>
      <c r="AC90" s="17" t="str">
        <f t="shared" si="45"/>
        <v>Review / Restructure</v>
      </c>
      <c r="AD90" s="20">
        <f t="shared" si="46"/>
        <v>0.99509028282455214</v>
      </c>
      <c r="AE90" s="20">
        <f t="shared" si="47"/>
        <v>0.78211293052067532</v>
      </c>
      <c r="AF90" s="19">
        <f t="shared" si="48"/>
        <v>1510000</v>
      </c>
      <c r="AG90" s="22">
        <f t="shared" si="49"/>
        <v>55.081582116135657</v>
      </c>
      <c r="AH90" s="17" t="str">
        <f t="shared" si="50"/>
        <v>Below Target</v>
      </c>
    </row>
    <row r="91" spans="1:34" ht="15" customHeight="1" x14ac:dyDescent="0.25">
      <c r="A91" s="17" t="str">
        <f>Raw_Data!A91</f>
        <v>INV-087</v>
      </c>
      <c r="B91" s="17" t="str">
        <f>Raw_Data!B91</f>
        <v>Leadership Development – South</v>
      </c>
      <c r="C91" s="17" t="str">
        <f>Raw_Data!C91</f>
        <v>Training</v>
      </c>
      <c r="D91" s="17" t="str">
        <f>Raw_Data!D91</f>
        <v>Product</v>
      </c>
      <c r="E91" s="17" t="str">
        <f>Raw_Data!E91</f>
        <v>South</v>
      </c>
      <c r="F91" s="18">
        <f>Raw_Data!F91</f>
        <v>45905</v>
      </c>
      <c r="G91" s="18">
        <f>Raw_Data!G91</f>
        <v>46187</v>
      </c>
      <c r="H91" s="19">
        <f>Raw_Data!H91</f>
        <v>7770000</v>
      </c>
      <c r="I91" s="19">
        <f>Raw_Data!I91</f>
        <v>680000</v>
      </c>
      <c r="J91" s="19">
        <f t="shared" si="34"/>
        <v>8450000</v>
      </c>
      <c r="K91" s="19">
        <f>Raw_Data!J91</f>
        <v>8350000</v>
      </c>
      <c r="L91" s="19">
        <f>Raw_Data!K91</f>
        <v>8835786.2893526405</v>
      </c>
      <c r="M91" s="19">
        <f>Raw_Data!L91</f>
        <v>7618584.5969783301</v>
      </c>
      <c r="N91" s="19">
        <f>Raw_Data!M91</f>
        <v>946308.01821183297</v>
      </c>
      <c r="O91" s="19">
        <f>Raw_Data!N91</f>
        <v>735083.69698377</v>
      </c>
      <c r="P91" s="19">
        <f t="shared" si="35"/>
        <v>9782094.3075644728</v>
      </c>
      <c r="Q91" s="19">
        <f t="shared" si="36"/>
        <v>8353668.2939621005</v>
      </c>
      <c r="R91" s="19">
        <f t="shared" si="37"/>
        <v>-96331.706037899479</v>
      </c>
      <c r="S91" s="20">
        <f t="shared" si="38"/>
        <v>-1.140020189797627E-2</v>
      </c>
      <c r="T91" s="20">
        <f t="shared" si="39"/>
        <v>0.15</v>
      </c>
      <c r="U91" s="20">
        <f t="shared" si="40"/>
        <v>-0.16140020189797627</v>
      </c>
      <c r="V91" s="21">
        <f t="shared" si="41"/>
        <v>5.0576583260479273</v>
      </c>
      <c r="W91" s="19">
        <f t="shared" si="42"/>
        <v>-2116604.9510443266</v>
      </c>
      <c r="X91" s="20">
        <f>IFERROR(NPV_IRR!L91,0)</f>
        <v>-3.8097619075857514E-3</v>
      </c>
      <c r="Y91" s="20">
        <f t="shared" si="43"/>
        <v>0.1</v>
      </c>
      <c r="Z91" s="17" t="str">
        <f>Raw_Data!O91</f>
        <v>Cancelled</v>
      </c>
      <c r="AA91" s="17" t="str">
        <f>Raw_Data!P91</f>
        <v>Medium</v>
      </c>
      <c r="AB91" s="17" t="str">
        <f t="shared" si="44"/>
        <v>Underperforming</v>
      </c>
      <c r="AC91" s="17" t="str">
        <f t="shared" si="45"/>
        <v>Review / Restructure</v>
      </c>
      <c r="AD91" s="20">
        <f t="shared" si="46"/>
        <v>0.86224183649155584</v>
      </c>
      <c r="AE91" s="20">
        <f t="shared" si="47"/>
        <v>0.77679115344790417</v>
      </c>
      <c r="AF91" s="19">
        <f t="shared" si="48"/>
        <v>100000</v>
      </c>
      <c r="AG91" s="22">
        <f t="shared" si="49"/>
        <v>45.040558579895368</v>
      </c>
      <c r="AH91" s="17" t="str">
        <f t="shared" si="50"/>
        <v>Significantly Below Target</v>
      </c>
    </row>
    <row r="92" spans="1:34" ht="15" customHeight="1" x14ac:dyDescent="0.25">
      <c r="A92" s="17" t="str">
        <f>Raw_Data!A92</f>
        <v>INV-088</v>
      </c>
      <c r="B92" s="17" t="str">
        <f>Raw_Data!B92</f>
        <v>Plant Utility Upgrade – West</v>
      </c>
      <c r="C92" s="17" t="str">
        <f>Raw_Data!C92</f>
        <v>Infrastructure</v>
      </c>
      <c r="D92" s="17" t="str">
        <f>Raw_Data!D92</f>
        <v>Marketing</v>
      </c>
      <c r="E92" s="17" t="str">
        <f>Raw_Data!E92</f>
        <v>West</v>
      </c>
      <c r="F92" s="18">
        <f>Raw_Data!F92</f>
        <v>45910</v>
      </c>
      <c r="G92" s="18">
        <f>Raw_Data!G92</f>
        <v>46511</v>
      </c>
      <c r="H92" s="19">
        <f>Raw_Data!H92</f>
        <v>50140000</v>
      </c>
      <c r="I92" s="19">
        <f>Raw_Data!I92</f>
        <v>3220000</v>
      </c>
      <c r="J92" s="19">
        <f t="shared" si="34"/>
        <v>53360000</v>
      </c>
      <c r="K92" s="19">
        <f>Raw_Data!J92</f>
        <v>53000000</v>
      </c>
      <c r="L92" s="19">
        <f>Raw_Data!K92</f>
        <v>52041538.067357503</v>
      </c>
      <c r="M92" s="19">
        <f>Raw_Data!L92</f>
        <v>58208497.285934903</v>
      </c>
      <c r="N92" s="19">
        <f>Raw_Data!M92</f>
        <v>8996546.5628643204</v>
      </c>
      <c r="O92" s="19">
        <f>Raw_Data!N92</f>
        <v>9526957.4594823606</v>
      </c>
      <c r="P92" s="19">
        <f t="shared" si="35"/>
        <v>61038084.630221821</v>
      </c>
      <c r="Q92" s="19">
        <f t="shared" si="36"/>
        <v>67735454.745417267</v>
      </c>
      <c r="R92" s="19">
        <f t="shared" si="37"/>
        <v>14375454.745417267</v>
      </c>
      <c r="S92" s="20">
        <f t="shared" si="38"/>
        <v>0.26940507393960395</v>
      </c>
      <c r="T92" s="20">
        <f t="shared" si="39"/>
        <v>0.13</v>
      </c>
      <c r="U92" s="20">
        <f t="shared" si="40"/>
        <v>0.13940507393960394</v>
      </c>
      <c r="V92" s="21">
        <f t="shared" si="41"/>
        <v>3.9388530128389037</v>
      </c>
      <c r="W92" s="19">
        <f t="shared" si="42"/>
        <v>-3291346.9634564146</v>
      </c>
      <c r="X92" s="20">
        <f>IFERROR(NPV_IRR!L92,0)</f>
        <v>8.5173676155638978E-2</v>
      </c>
      <c r="Y92" s="20">
        <f t="shared" si="43"/>
        <v>0.11</v>
      </c>
      <c r="Z92" s="17" t="str">
        <f>Raw_Data!O92</f>
        <v>On Hold</v>
      </c>
      <c r="AA92" s="17" t="str">
        <f>Raw_Data!P92</f>
        <v>Low</v>
      </c>
      <c r="AB92" s="17" t="str">
        <f t="shared" si="44"/>
        <v>Good</v>
      </c>
      <c r="AC92" s="17" t="str">
        <f t="shared" si="45"/>
        <v>Review / Restructure</v>
      </c>
      <c r="AD92" s="20">
        <f t="shared" si="46"/>
        <v>1.1185007101557123</v>
      </c>
      <c r="AE92" s="20">
        <f t="shared" si="47"/>
        <v>1.0589571668319324</v>
      </c>
      <c r="AF92" s="19">
        <f t="shared" si="48"/>
        <v>360000</v>
      </c>
      <c r="AG92" s="22">
        <f t="shared" si="49"/>
        <v>72.916296659633048</v>
      </c>
      <c r="AH92" s="17" t="str">
        <f t="shared" si="50"/>
        <v>Significantly Above Target</v>
      </c>
    </row>
    <row r="93" spans="1:34" ht="15" customHeight="1" x14ac:dyDescent="0.25">
      <c r="A93" s="17" t="str">
        <f>Raw_Data!A93</f>
        <v>INV-089</v>
      </c>
      <c r="B93" s="17" t="str">
        <f>Raw_Data!B93</f>
        <v>ERP Cloud Migration – North</v>
      </c>
      <c r="C93" s="17" t="str">
        <f>Raw_Data!C93</f>
        <v>Technology</v>
      </c>
      <c r="D93" s="17" t="str">
        <f>Raw_Data!D93</f>
        <v>HR</v>
      </c>
      <c r="E93" s="17" t="str">
        <f>Raw_Data!E93</f>
        <v>North</v>
      </c>
      <c r="F93" s="18">
        <f>Raw_Data!F93</f>
        <v>45660</v>
      </c>
      <c r="G93" s="18">
        <f>Raw_Data!G93</f>
        <v>46230</v>
      </c>
      <c r="H93" s="19">
        <f>Raw_Data!H93</f>
        <v>24790000</v>
      </c>
      <c r="I93" s="19">
        <f>Raw_Data!I93</f>
        <v>830000</v>
      </c>
      <c r="J93" s="19">
        <f t="shared" si="34"/>
        <v>25620000</v>
      </c>
      <c r="K93" s="19">
        <f>Raw_Data!J93</f>
        <v>25660000</v>
      </c>
      <c r="L93" s="19">
        <f>Raw_Data!K93</f>
        <v>25904430.783363398</v>
      </c>
      <c r="M93" s="19">
        <f>Raw_Data!L93</f>
        <v>25993986.412744001</v>
      </c>
      <c r="N93" s="19">
        <f>Raw_Data!M93</f>
        <v>4342959.6715177996</v>
      </c>
      <c r="O93" s="19">
        <f>Raw_Data!N93</f>
        <v>3825557.5938997902</v>
      </c>
      <c r="P93" s="19">
        <f t="shared" si="35"/>
        <v>30247390.454881199</v>
      </c>
      <c r="Q93" s="19">
        <f t="shared" si="36"/>
        <v>29819544.006643791</v>
      </c>
      <c r="R93" s="19">
        <f t="shared" si="37"/>
        <v>4199544.0066437908</v>
      </c>
      <c r="S93" s="20">
        <f t="shared" si="38"/>
        <v>0.1639166278939809</v>
      </c>
      <c r="T93" s="20">
        <f t="shared" si="39"/>
        <v>0.2</v>
      </c>
      <c r="U93" s="20">
        <f t="shared" si="40"/>
        <v>-3.6083372106019113E-2</v>
      </c>
      <c r="V93" s="21">
        <f t="shared" si="41"/>
        <v>4.2958403378488734</v>
      </c>
      <c r="W93" s="19">
        <f t="shared" si="42"/>
        <v>-4121443.4800141715</v>
      </c>
      <c r="X93" s="20">
        <f>IFERROR(NPV_IRR!L93,0)</f>
        <v>5.2827908376814836E-2</v>
      </c>
      <c r="Y93" s="20">
        <f t="shared" si="43"/>
        <v>0.12</v>
      </c>
      <c r="Z93" s="17" t="str">
        <f>Raw_Data!O93</f>
        <v>Active</v>
      </c>
      <c r="AA93" s="17" t="str">
        <f>Raw_Data!P93</f>
        <v>High</v>
      </c>
      <c r="AB93" s="17" t="str">
        <f t="shared" si="44"/>
        <v>Watch</v>
      </c>
      <c r="AC93" s="17" t="str">
        <f t="shared" si="45"/>
        <v>Review / Restructure</v>
      </c>
      <c r="AD93" s="20">
        <f t="shared" si="46"/>
        <v>1.0034571548832534</v>
      </c>
      <c r="AE93" s="20">
        <f t="shared" si="47"/>
        <v>0.88086417633319047</v>
      </c>
      <c r="AF93" s="19">
        <f t="shared" si="48"/>
        <v>-40000</v>
      </c>
      <c r="AG93" s="22">
        <f t="shared" si="49"/>
        <v>56.676316975208572</v>
      </c>
      <c r="AH93" s="17" t="str">
        <f t="shared" si="50"/>
        <v>Below Target</v>
      </c>
    </row>
    <row r="94" spans="1:34" ht="15" customHeight="1" x14ac:dyDescent="0.25">
      <c r="A94" s="17" t="str">
        <f>Raw_Data!A94</f>
        <v>INV-090</v>
      </c>
      <c r="B94" s="17" t="str">
        <f>Raw_Data!B94</f>
        <v>Brand Repositioning – East</v>
      </c>
      <c r="C94" s="17" t="str">
        <f>Raw_Data!C94</f>
        <v>Marketing</v>
      </c>
      <c r="D94" s="17" t="str">
        <f>Raw_Data!D94</f>
        <v>Supply Chain</v>
      </c>
      <c r="E94" s="17" t="str">
        <f>Raw_Data!E94</f>
        <v>East</v>
      </c>
      <c r="F94" s="18">
        <f>Raw_Data!F94</f>
        <v>45809</v>
      </c>
      <c r="G94" s="18">
        <f>Raw_Data!G94</f>
        <v>46162</v>
      </c>
      <c r="H94" s="19">
        <f>Raw_Data!H94</f>
        <v>20280000</v>
      </c>
      <c r="I94" s="19">
        <f>Raw_Data!I94</f>
        <v>850000</v>
      </c>
      <c r="J94" s="19">
        <f t="shared" si="34"/>
        <v>21130000</v>
      </c>
      <c r="K94" s="19">
        <f>Raw_Data!J94</f>
        <v>20230000</v>
      </c>
      <c r="L94" s="19">
        <f>Raw_Data!K94</f>
        <v>24580237.407179601</v>
      </c>
      <c r="M94" s="19">
        <f>Raw_Data!L94</f>
        <v>25277992.384850401</v>
      </c>
      <c r="N94" s="19">
        <f>Raw_Data!M94</f>
        <v>1573070.76178713</v>
      </c>
      <c r="O94" s="19">
        <f>Raw_Data!N94</f>
        <v>1523321.3987626999</v>
      </c>
      <c r="P94" s="19">
        <f t="shared" si="35"/>
        <v>26153308.168966733</v>
      </c>
      <c r="Q94" s="19">
        <f t="shared" si="36"/>
        <v>26801313.783613101</v>
      </c>
      <c r="R94" s="19">
        <f t="shared" si="37"/>
        <v>5671313.7836131006</v>
      </c>
      <c r="S94" s="20">
        <f t="shared" si="38"/>
        <v>0.26840103093294371</v>
      </c>
      <c r="T94" s="20">
        <f t="shared" si="39"/>
        <v>0.22</v>
      </c>
      <c r="U94" s="20">
        <f t="shared" si="40"/>
        <v>4.8401030932943706E-2</v>
      </c>
      <c r="V94" s="21">
        <f t="shared" si="41"/>
        <v>3.9419709366858235</v>
      </c>
      <c r="W94" s="19">
        <f t="shared" si="42"/>
        <v>-810386.86126304418</v>
      </c>
      <c r="X94" s="20">
        <f>IFERROR(NPV_IRR!L94,0)</f>
        <v>8.4871080803067933E-2</v>
      </c>
      <c r="Y94" s="20">
        <f t="shared" si="43"/>
        <v>0.1</v>
      </c>
      <c r="Z94" s="17" t="str">
        <f>Raw_Data!O94</f>
        <v>Completed</v>
      </c>
      <c r="AA94" s="17" t="str">
        <f>Raw_Data!P94</f>
        <v>Medium</v>
      </c>
      <c r="AB94" s="17" t="str">
        <f t="shared" si="44"/>
        <v>Watch</v>
      </c>
      <c r="AC94" s="17" t="str">
        <f t="shared" si="45"/>
        <v>Review / Restructure</v>
      </c>
      <c r="AD94" s="20">
        <f t="shared" si="46"/>
        <v>1.0283868282519921</v>
      </c>
      <c r="AE94" s="20">
        <f t="shared" si="47"/>
        <v>0.96837436418441147</v>
      </c>
      <c r="AF94" s="19">
        <f t="shared" si="48"/>
        <v>900000</v>
      </c>
      <c r="AG94" s="22">
        <f t="shared" si="49"/>
        <v>64.068461683329019</v>
      </c>
      <c r="AH94" s="17" t="str">
        <f t="shared" si="50"/>
        <v>Above Target</v>
      </c>
    </row>
    <row r="95" spans="1:34" ht="15" customHeight="1" x14ac:dyDescent="0.25">
      <c r="A95" s="17" t="str">
        <f>Raw_Data!A95</f>
        <v>INV-091</v>
      </c>
      <c r="B95" s="17" t="str">
        <f>Raw_Data!B95</f>
        <v>Premium Product Line – Central</v>
      </c>
      <c r="C95" s="17" t="str">
        <f>Raw_Data!C95</f>
        <v>Product Development</v>
      </c>
      <c r="D95" s="17" t="str">
        <f>Raw_Data!D95</f>
        <v>Operations</v>
      </c>
      <c r="E95" s="17" t="str">
        <f>Raw_Data!E95</f>
        <v>Central</v>
      </c>
      <c r="F95" s="18">
        <f>Raw_Data!F95</f>
        <v>45399</v>
      </c>
      <c r="G95" s="18">
        <f>Raw_Data!G95</f>
        <v>45896</v>
      </c>
      <c r="H95" s="19">
        <f>Raw_Data!H95</f>
        <v>17330000</v>
      </c>
      <c r="I95" s="19">
        <f>Raw_Data!I95</f>
        <v>10000</v>
      </c>
      <c r="J95" s="19">
        <f t="shared" si="34"/>
        <v>17340000</v>
      </c>
      <c r="K95" s="19">
        <f>Raw_Data!J95</f>
        <v>17490000</v>
      </c>
      <c r="L95" s="19">
        <f>Raw_Data!K95</f>
        <v>20918133.5236817</v>
      </c>
      <c r="M95" s="19">
        <f>Raw_Data!L95</f>
        <v>17798136.487257902</v>
      </c>
      <c r="N95" s="19">
        <f>Raw_Data!M95</f>
        <v>812648.53398131405</v>
      </c>
      <c r="O95" s="19">
        <f>Raw_Data!N95</f>
        <v>873847.816936341</v>
      </c>
      <c r="P95" s="19">
        <f t="shared" si="35"/>
        <v>21730782.057663016</v>
      </c>
      <c r="Q95" s="19">
        <f t="shared" si="36"/>
        <v>18671984.304194242</v>
      </c>
      <c r="R95" s="19">
        <f t="shared" si="37"/>
        <v>1331984.3041942418</v>
      </c>
      <c r="S95" s="20">
        <f t="shared" si="38"/>
        <v>7.6815703817430317E-2</v>
      </c>
      <c r="T95" s="20">
        <f t="shared" si="39"/>
        <v>0.24</v>
      </c>
      <c r="U95" s="20">
        <f t="shared" si="40"/>
        <v>-0.16318429618256969</v>
      </c>
      <c r="V95" s="21">
        <f t="shared" si="41"/>
        <v>4.6433200985781031</v>
      </c>
      <c r="W95" s="19">
        <f t="shared" si="42"/>
        <v>-3183697.7882116549</v>
      </c>
      <c r="X95" s="20">
        <f>IFERROR(NPV_IRR!L95,0)</f>
        <v>2.5187640455722304E-2</v>
      </c>
      <c r="Y95" s="20">
        <f t="shared" si="43"/>
        <v>0.1</v>
      </c>
      <c r="Z95" s="17" t="str">
        <f>Raw_Data!O95</f>
        <v>Cancelled</v>
      </c>
      <c r="AA95" s="17" t="str">
        <f>Raw_Data!P95</f>
        <v>Low</v>
      </c>
      <c r="AB95" s="17" t="str">
        <f t="shared" si="44"/>
        <v>Underperforming</v>
      </c>
      <c r="AC95" s="17" t="str">
        <f t="shared" si="45"/>
        <v>Review / Restructure</v>
      </c>
      <c r="AD95" s="20">
        <f t="shared" si="46"/>
        <v>0.85084725494788493</v>
      </c>
      <c r="AE95" s="20">
        <f t="shared" si="47"/>
        <v>1.0753084271932425</v>
      </c>
      <c r="AF95" s="19">
        <f t="shared" si="48"/>
        <v>-150000</v>
      </c>
      <c r="AG95" s="22">
        <f t="shared" si="49"/>
        <v>47.058236346584565</v>
      </c>
      <c r="AH95" s="17" t="str">
        <f t="shared" si="50"/>
        <v>Significantly Below Target</v>
      </c>
    </row>
    <row r="96" spans="1:34" ht="15" customHeight="1" x14ac:dyDescent="0.25">
      <c r="A96" s="17" t="str">
        <f>Raw_Data!A96</f>
        <v>INV-092</v>
      </c>
      <c r="B96" s="17" t="str">
        <f>Raw_Data!B96</f>
        <v>Tier-2 City Expansion – South</v>
      </c>
      <c r="C96" s="17" t="str">
        <f>Raw_Data!C96</f>
        <v>Expansion</v>
      </c>
      <c r="D96" s="17" t="str">
        <f>Raw_Data!D96</f>
        <v>Finance</v>
      </c>
      <c r="E96" s="17" t="str">
        <f>Raw_Data!E96</f>
        <v>South</v>
      </c>
      <c r="F96" s="18">
        <f>Raw_Data!F96</f>
        <v>45793</v>
      </c>
      <c r="G96" s="18">
        <f>Raw_Data!G96</f>
        <v>46102</v>
      </c>
      <c r="H96" s="19">
        <f>Raw_Data!H96</f>
        <v>57230000</v>
      </c>
      <c r="I96" s="19">
        <f>Raw_Data!I96</f>
        <v>70000</v>
      </c>
      <c r="J96" s="19">
        <f t="shared" si="34"/>
        <v>57300000</v>
      </c>
      <c r="K96" s="19">
        <f>Raw_Data!J96</f>
        <v>59000000</v>
      </c>
      <c r="L96" s="19">
        <f>Raw_Data!K96</f>
        <v>58475047.7551485</v>
      </c>
      <c r="M96" s="19">
        <f>Raw_Data!L96</f>
        <v>56139075.945290297</v>
      </c>
      <c r="N96" s="19">
        <f>Raw_Data!M96</f>
        <v>7425533.6419035196</v>
      </c>
      <c r="O96" s="19">
        <f>Raw_Data!N96</f>
        <v>5772916.6383050401</v>
      </c>
      <c r="P96" s="19">
        <f t="shared" si="35"/>
        <v>65900581.39705202</v>
      </c>
      <c r="Q96" s="19">
        <f t="shared" si="36"/>
        <v>61911992.583595335</v>
      </c>
      <c r="R96" s="19">
        <f t="shared" si="37"/>
        <v>4611992.5835953355</v>
      </c>
      <c r="S96" s="20">
        <f t="shared" si="38"/>
        <v>8.0488526764316504E-2</v>
      </c>
      <c r="T96" s="20">
        <f t="shared" si="39"/>
        <v>0.18</v>
      </c>
      <c r="U96" s="20">
        <f t="shared" si="40"/>
        <v>-9.951147323568349E-2</v>
      </c>
      <c r="V96" s="21">
        <f t="shared" si="41"/>
        <v>4.6275364116759699</v>
      </c>
      <c r="W96" s="19">
        <f t="shared" si="42"/>
        <v>-9136787.9661192596</v>
      </c>
      <c r="X96" s="20">
        <f>IFERROR(NPV_IRR!L96,0)</f>
        <v>2.6371996775724105E-2</v>
      </c>
      <c r="Y96" s="20">
        <f t="shared" si="43"/>
        <v>0.09</v>
      </c>
      <c r="Z96" s="17" t="str">
        <f>Raw_Data!O96</f>
        <v>On Hold</v>
      </c>
      <c r="AA96" s="17" t="str">
        <f>Raw_Data!P96</f>
        <v>High</v>
      </c>
      <c r="AB96" s="17" t="str">
        <f t="shared" si="44"/>
        <v>Underperforming</v>
      </c>
      <c r="AC96" s="17" t="str">
        <f t="shared" si="45"/>
        <v>Review / Restructure</v>
      </c>
      <c r="AD96" s="20">
        <f t="shared" si="46"/>
        <v>0.9600518186895789</v>
      </c>
      <c r="AE96" s="20">
        <f t="shared" si="47"/>
        <v>0.77744131488779644</v>
      </c>
      <c r="AF96" s="19">
        <f t="shared" si="48"/>
        <v>-1700000</v>
      </c>
      <c r="AG96" s="22">
        <f t="shared" si="49"/>
        <v>51.540943731969612</v>
      </c>
      <c r="AH96" s="17" t="str">
        <f t="shared" si="50"/>
        <v>Significantly Below Target</v>
      </c>
    </row>
    <row r="97" spans="1:34" ht="15" customHeight="1" x14ac:dyDescent="0.25">
      <c r="A97" s="17" t="str">
        <f>Raw_Data!A97</f>
        <v>INV-093</v>
      </c>
      <c r="B97" s="17" t="str">
        <f>Raw_Data!B97</f>
        <v>Automated Packaging Line – West</v>
      </c>
      <c r="C97" s="17" t="str">
        <f>Raw_Data!C97</f>
        <v>Equipment</v>
      </c>
      <c r="D97" s="17" t="str">
        <f>Raw_Data!D97</f>
        <v>Sales</v>
      </c>
      <c r="E97" s="17" t="str">
        <f>Raw_Data!E97</f>
        <v>West</v>
      </c>
      <c r="F97" s="18">
        <f>Raw_Data!F97</f>
        <v>46051</v>
      </c>
      <c r="G97" s="18">
        <f>Raw_Data!G97</f>
        <v>46794</v>
      </c>
      <c r="H97" s="19">
        <f>Raw_Data!H97</f>
        <v>29080000</v>
      </c>
      <c r="I97" s="19">
        <f>Raw_Data!I97</f>
        <v>180000</v>
      </c>
      <c r="J97" s="19">
        <f t="shared" si="34"/>
        <v>29260000</v>
      </c>
      <c r="K97" s="19">
        <f>Raw_Data!J97</f>
        <v>32170000</v>
      </c>
      <c r="L97" s="19">
        <f>Raw_Data!K97</f>
        <v>29050316.037025999</v>
      </c>
      <c r="M97" s="19">
        <f>Raw_Data!L97</f>
        <v>28169384.8154855</v>
      </c>
      <c r="N97" s="19">
        <f>Raw_Data!M97</f>
        <v>4489823.1086727502</v>
      </c>
      <c r="O97" s="19">
        <f>Raw_Data!N97</f>
        <v>4076357.42783895</v>
      </c>
      <c r="P97" s="19">
        <f t="shared" si="35"/>
        <v>33540139.145698749</v>
      </c>
      <c r="Q97" s="19">
        <f t="shared" si="36"/>
        <v>32245742.243324451</v>
      </c>
      <c r="R97" s="19">
        <f t="shared" si="37"/>
        <v>2985742.2433244511</v>
      </c>
      <c r="S97" s="20">
        <f t="shared" si="38"/>
        <v>0.10204177181559984</v>
      </c>
      <c r="T97" s="20">
        <f t="shared" si="39"/>
        <v>0.17</v>
      </c>
      <c r="U97" s="20">
        <f t="shared" si="40"/>
        <v>-6.7958228184400171E-2</v>
      </c>
      <c r="V97" s="21">
        <f t="shared" si="41"/>
        <v>4.5370331033483087</v>
      </c>
      <c r="W97" s="19">
        <f t="shared" si="42"/>
        <v>-5424611.4822007604</v>
      </c>
      <c r="X97" s="20">
        <f>IFERROR(NPV_IRR!L97,0)</f>
        <v>3.3287581363067087E-2</v>
      </c>
      <c r="Y97" s="20">
        <f t="shared" si="43"/>
        <v>0.11</v>
      </c>
      <c r="Z97" s="17" t="str">
        <f>Raw_Data!O97</f>
        <v>Active</v>
      </c>
      <c r="AA97" s="17" t="str">
        <f>Raw_Data!P97</f>
        <v>Medium</v>
      </c>
      <c r="AB97" s="17" t="str">
        <f t="shared" si="44"/>
        <v>Watch</v>
      </c>
      <c r="AC97" s="17" t="str">
        <f t="shared" si="45"/>
        <v>Review / Restructure</v>
      </c>
      <c r="AD97" s="20">
        <f t="shared" si="46"/>
        <v>0.96967567511424968</v>
      </c>
      <c r="AE97" s="20">
        <f t="shared" si="47"/>
        <v>0.90791047423780891</v>
      </c>
      <c r="AF97" s="19">
        <f t="shared" si="48"/>
        <v>-2910000</v>
      </c>
      <c r="AG97" s="22">
        <f t="shared" si="49"/>
        <v>54.873111801442946</v>
      </c>
      <c r="AH97" s="17" t="str">
        <f t="shared" si="50"/>
        <v>Significantly Below Target</v>
      </c>
    </row>
    <row r="98" spans="1:34" ht="15" customHeight="1" x14ac:dyDescent="0.25">
      <c r="A98" s="17" t="str">
        <f>Raw_Data!A98</f>
        <v>INV-094</v>
      </c>
      <c r="B98" s="17" t="str">
        <f>Raw_Data!B98</f>
        <v>RPA Finance Rollout – North</v>
      </c>
      <c r="C98" s="17" t="str">
        <f>Raw_Data!C98</f>
        <v>Automation</v>
      </c>
      <c r="D98" s="17" t="str">
        <f>Raw_Data!D98</f>
        <v>IT</v>
      </c>
      <c r="E98" s="17" t="str">
        <f>Raw_Data!E98</f>
        <v>North</v>
      </c>
      <c r="F98" s="18">
        <f>Raw_Data!F98</f>
        <v>45838</v>
      </c>
      <c r="G98" s="18">
        <f>Raw_Data!G98</f>
        <v>46423</v>
      </c>
      <c r="H98" s="19">
        <f>Raw_Data!H98</f>
        <v>19910000</v>
      </c>
      <c r="I98" s="19">
        <f>Raw_Data!I98</f>
        <v>120000</v>
      </c>
      <c r="J98" s="19">
        <f t="shared" si="34"/>
        <v>20030000</v>
      </c>
      <c r="K98" s="19">
        <f>Raw_Data!J98</f>
        <v>19390000</v>
      </c>
      <c r="L98" s="19">
        <f>Raw_Data!K98</f>
        <v>24676857.406326801</v>
      </c>
      <c r="M98" s="19">
        <f>Raw_Data!L98</f>
        <v>27609617.8776181</v>
      </c>
      <c r="N98" s="19">
        <f>Raw_Data!M98</f>
        <v>1377206.6325324001</v>
      </c>
      <c r="O98" s="19">
        <f>Raw_Data!N98</f>
        <v>1348899.7371695701</v>
      </c>
      <c r="P98" s="19">
        <f t="shared" si="35"/>
        <v>26054064.0388592</v>
      </c>
      <c r="Q98" s="19">
        <f t="shared" si="36"/>
        <v>28958517.614787672</v>
      </c>
      <c r="R98" s="19">
        <f t="shared" si="37"/>
        <v>8928517.6147876717</v>
      </c>
      <c r="S98" s="20">
        <f t="shared" si="38"/>
        <v>0.44575724487207546</v>
      </c>
      <c r="T98" s="20">
        <f t="shared" si="39"/>
        <v>0.25</v>
      </c>
      <c r="U98" s="20">
        <f t="shared" si="40"/>
        <v>0.19575724487207546</v>
      </c>
      <c r="V98" s="21">
        <f t="shared" si="41"/>
        <v>3.4583952580797295</v>
      </c>
      <c r="W98" s="19">
        <f t="shared" si="42"/>
        <v>1925113.0871637166</v>
      </c>
      <c r="X98" s="20">
        <f>IFERROR(NPV_IRR!L98,0)</f>
        <v>0.13695025867595523</v>
      </c>
      <c r="Y98" s="20">
        <f t="shared" si="43"/>
        <v>0.1</v>
      </c>
      <c r="Z98" s="17" t="str">
        <f>Raw_Data!O98</f>
        <v>Completed</v>
      </c>
      <c r="AA98" s="17" t="str">
        <f>Raw_Data!P98</f>
        <v>Low</v>
      </c>
      <c r="AB98" s="17" t="str">
        <f t="shared" si="44"/>
        <v>Good</v>
      </c>
      <c r="AC98" s="17" t="str">
        <f t="shared" si="45"/>
        <v>Increase / Scale</v>
      </c>
      <c r="AD98" s="20">
        <f t="shared" si="46"/>
        <v>1.1188465947264168</v>
      </c>
      <c r="AE98" s="20">
        <f t="shared" si="47"/>
        <v>0.97944615230992649</v>
      </c>
      <c r="AF98" s="19">
        <f t="shared" si="48"/>
        <v>640000</v>
      </c>
      <c r="AG98" s="22">
        <f t="shared" si="49"/>
        <v>76.680713690068259</v>
      </c>
      <c r="AH98" s="17" t="str">
        <f t="shared" si="50"/>
        <v>Significantly Above Target</v>
      </c>
    </row>
    <row r="99" spans="1:34" ht="15" customHeight="1" x14ac:dyDescent="0.25">
      <c r="A99" s="17" t="str">
        <f>Raw_Data!A99</f>
        <v>INV-095</v>
      </c>
      <c r="B99" s="17" t="str">
        <f>Raw_Data!B99</f>
        <v>Leadership Development – East</v>
      </c>
      <c r="C99" s="17" t="str">
        <f>Raw_Data!C99</f>
        <v>Training</v>
      </c>
      <c r="D99" s="17" t="str">
        <f>Raw_Data!D99</f>
        <v>Product</v>
      </c>
      <c r="E99" s="17" t="str">
        <f>Raw_Data!E99</f>
        <v>East</v>
      </c>
      <c r="F99" s="18">
        <f>Raw_Data!F99</f>
        <v>45767</v>
      </c>
      <c r="G99" s="18">
        <f>Raw_Data!G99</f>
        <v>45960</v>
      </c>
      <c r="H99" s="19">
        <f>Raw_Data!H99</f>
        <v>3390000</v>
      </c>
      <c r="I99" s="19">
        <f>Raw_Data!I99</f>
        <v>500000</v>
      </c>
      <c r="J99" s="19">
        <f t="shared" si="34"/>
        <v>3890000</v>
      </c>
      <c r="K99" s="19">
        <f>Raw_Data!J99</f>
        <v>4200000</v>
      </c>
      <c r="L99" s="19">
        <f>Raw_Data!K99</f>
        <v>3500971.2324017501</v>
      </c>
      <c r="M99" s="19">
        <f>Raw_Data!L99</f>
        <v>2879627.89313673</v>
      </c>
      <c r="N99" s="19">
        <f>Raw_Data!M99</f>
        <v>754543.50517417502</v>
      </c>
      <c r="O99" s="19">
        <f>Raw_Data!N99</f>
        <v>831509.04985749698</v>
      </c>
      <c r="P99" s="19">
        <f t="shared" si="35"/>
        <v>4255514.737575925</v>
      </c>
      <c r="Q99" s="19">
        <f t="shared" si="36"/>
        <v>3711136.9429942267</v>
      </c>
      <c r="R99" s="19">
        <f t="shared" si="37"/>
        <v>-178863.0570057733</v>
      </c>
      <c r="S99" s="20">
        <f t="shared" si="38"/>
        <v>-4.5980220309967429E-2</v>
      </c>
      <c r="T99" s="20">
        <f t="shared" si="39"/>
        <v>0.15</v>
      </c>
      <c r="U99" s="20">
        <f t="shared" si="40"/>
        <v>-0.19598022030996742</v>
      </c>
      <c r="V99" s="21">
        <f t="shared" si="41"/>
        <v>5.2409814832398274</v>
      </c>
      <c r="W99" s="19">
        <f t="shared" si="42"/>
        <v>-1214436.3728502044</v>
      </c>
      <c r="X99" s="20">
        <f>IFERROR(NPV_IRR!L99,0)</f>
        <v>-1.5487890921792924E-2</v>
      </c>
      <c r="Y99" s="20">
        <f t="shared" si="43"/>
        <v>0.12</v>
      </c>
      <c r="Z99" s="17" t="str">
        <f>Raw_Data!O99</f>
        <v>Cancelled</v>
      </c>
      <c r="AA99" s="17" t="str">
        <f>Raw_Data!P99</f>
        <v>High</v>
      </c>
      <c r="AB99" s="17" t="str">
        <f t="shared" si="44"/>
        <v>Underperforming</v>
      </c>
      <c r="AC99" s="17" t="str">
        <f t="shared" si="45"/>
        <v>Review / Restructure</v>
      </c>
      <c r="AD99" s="20">
        <f t="shared" si="46"/>
        <v>0.82252258073004392</v>
      </c>
      <c r="AE99" s="20">
        <f t="shared" si="47"/>
        <v>1.102002792623012</v>
      </c>
      <c r="AF99" s="19">
        <f t="shared" si="48"/>
        <v>-310000</v>
      </c>
      <c r="AG99" s="22">
        <f t="shared" si="49"/>
        <v>42.114508091151109</v>
      </c>
      <c r="AH99" s="17" t="str">
        <f t="shared" si="50"/>
        <v>Significantly Below Target</v>
      </c>
    </row>
    <row r="100" spans="1:34" ht="15" customHeight="1" x14ac:dyDescent="0.25">
      <c r="A100" s="17" t="str">
        <f>Raw_Data!A100</f>
        <v>INV-096</v>
      </c>
      <c r="B100" s="17" t="str">
        <f>Raw_Data!B100</f>
        <v>Plant Utility Upgrade – Central</v>
      </c>
      <c r="C100" s="17" t="str">
        <f>Raw_Data!C100</f>
        <v>Infrastructure</v>
      </c>
      <c r="D100" s="17" t="str">
        <f>Raw_Data!D100</f>
        <v>Marketing</v>
      </c>
      <c r="E100" s="17" t="str">
        <f>Raw_Data!E100</f>
        <v>Central</v>
      </c>
      <c r="F100" s="18">
        <f>Raw_Data!F100</f>
        <v>45627</v>
      </c>
      <c r="G100" s="18">
        <f>Raw_Data!G100</f>
        <v>46449</v>
      </c>
      <c r="H100" s="19">
        <f>Raw_Data!H100</f>
        <v>35920000</v>
      </c>
      <c r="I100" s="19">
        <f>Raw_Data!I100</f>
        <v>2750000</v>
      </c>
      <c r="J100" s="19">
        <f t="shared" si="34"/>
        <v>38670000</v>
      </c>
      <c r="K100" s="19">
        <f>Raw_Data!J100</f>
        <v>39510000</v>
      </c>
      <c r="L100" s="19">
        <f>Raw_Data!K100</f>
        <v>41193679.669356301</v>
      </c>
      <c r="M100" s="19">
        <f>Raw_Data!L100</f>
        <v>37936994.775970601</v>
      </c>
      <c r="N100" s="19">
        <f>Raw_Data!M100</f>
        <v>3775794.3874458601</v>
      </c>
      <c r="O100" s="19">
        <f>Raw_Data!N100</f>
        <v>2848779.6962761199</v>
      </c>
      <c r="P100" s="19">
        <f t="shared" si="35"/>
        <v>44969474.056802161</v>
      </c>
      <c r="Q100" s="19">
        <f t="shared" si="36"/>
        <v>40785774.472246721</v>
      </c>
      <c r="R100" s="19">
        <f t="shared" si="37"/>
        <v>2115774.4722467214</v>
      </c>
      <c r="S100" s="20">
        <f t="shared" si="38"/>
        <v>5.4713588628050723E-2</v>
      </c>
      <c r="T100" s="20">
        <f t="shared" si="39"/>
        <v>0.13</v>
      </c>
      <c r="U100" s="20">
        <f t="shared" si="40"/>
        <v>-7.5286411371949274E-2</v>
      </c>
      <c r="V100" s="21">
        <f t="shared" si="41"/>
        <v>4.7406234772265474</v>
      </c>
      <c r="W100" s="19">
        <f t="shared" si="42"/>
        <v>-8521995.5530999415</v>
      </c>
      <c r="X100" s="20">
        <f>IFERROR(NPV_IRR!L100,0)</f>
        <v>1.8023262301116061E-2</v>
      </c>
      <c r="Y100" s="20">
        <f t="shared" si="43"/>
        <v>0.11</v>
      </c>
      <c r="Z100" s="17" t="str">
        <f>Raw_Data!O100</f>
        <v>On Hold</v>
      </c>
      <c r="AA100" s="17" t="str">
        <f>Raw_Data!P100</f>
        <v>Medium</v>
      </c>
      <c r="AB100" s="17" t="str">
        <f t="shared" si="44"/>
        <v>Watch</v>
      </c>
      <c r="AC100" s="17" t="str">
        <f t="shared" si="45"/>
        <v>Review / Restructure</v>
      </c>
      <c r="AD100" s="20">
        <f t="shared" si="46"/>
        <v>0.92094212220113159</v>
      </c>
      <c r="AE100" s="20">
        <f t="shared" si="47"/>
        <v>0.75448485906648632</v>
      </c>
      <c r="AF100" s="19">
        <f t="shared" si="48"/>
        <v>-840000</v>
      </c>
      <c r="AG100" s="22">
        <f t="shared" si="49"/>
        <v>52.758548008878755</v>
      </c>
      <c r="AH100" s="17" t="str">
        <f t="shared" si="50"/>
        <v>Significantly Below Target</v>
      </c>
    </row>
    <row r="101" spans="1:34" ht="15" customHeight="1" x14ac:dyDescent="0.25">
      <c r="A101" s="17" t="str">
        <f>Raw_Data!A101</f>
        <v>INV-097</v>
      </c>
      <c r="B101" s="17" t="str">
        <f>Raw_Data!B101</f>
        <v>ERP Cloud Migration – South</v>
      </c>
      <c r="C101" s="17" t="str">
        <f>Raw_Data!C101</f>
        <v>Technology</v>
      </c>
      <c r="D101" s="17" t="str">
        <f>Raw_Data!D101</f>
        <v>HR</v>
      </c>
      <c r="E101" s="17" t="str">
        <f>Raw_Data!E101</f>
        <v>South</v>
      </c>
      <c r="F101" s="18">
        <f>Raw_Data!F101</f>
        <v>45501</v>
      </c>
      <c r="G101" s="18">
        <f>Raw_Data!G101</f>
        <v>46283</v>
      </c>
      <c r="H101" s="19">
        <f>Raw_Data!H101</f>
        <v>29230000</v>
      </c>
      <c r="I101" s="19">
        <f>Raw_Data!I101</f>
        <v>4780000</v>
      </c>
      <c r="J101" s="19">
        <f t="shared" ref="J101:J132" si="51">H101+I101</f>
        <v>34010000</v>
      </c>
      <c r="K101" s="19">
        <f>Raw_Data!J101</f>
        <v>34850000</v>
      </c>
      <c r="L101" s="19">
        <f>Raw_Data!K101</f>
        <v>37932390.022055998</v>
      </c>
      <c r="M101" s="19">
        <f>Raw_Data!L101</f>
        <v>38432833.147456102</v>
      </c>
      <c r="N101" s="19">
        <f>Raw_Data!M101</f>
        <v>5032632.7125409897</v>
      </c>
      <c r="O101" s="19">
        <f>Raw_Data!N101</f>
        <v>5282734.7123021996</v>
      </c>
      <c r="P101" s="19">
        <f t="shared" ref="P101:P132" si="52">L101+N101</f>
        <v>42965022.73459699</v>
      </c>
      <c r="Q101" s="19">
        <f t="shared" ref="Q101:Q132" si="53">M101+O101</f>
        <v>43715567.859758303</v>
      </c>
      <c r="R101" s="19">
        <f t="shared" ref="R101:R132" si="54">Q101-J101</f>
        <v>9705567.8597583026</v>
      </c>
      <c r="S101" s="20">
        <f t="shared" ref="S101:S132" si="55">IFERROR(R101/J101,0)</f>
        <v>0.28537394471503391</v>
      </c>
      <c r="T101" s="20">
        <f t="shared" ref="T101:T132" si="56">IF(C101="Technology",0.2,IF(C101="Marketing",0.22,IF(C101="Product Development",0.24,IF(C101="Expansion",0.18,IF(C101="Equipment",0.17,IF(C101="Automation",0.25,IF(C101="Training",0.15,0.13)))))))</f>
        <v>0.2</v>
      </c>
      <c r="U101" s="20">
        <f t="shared" ref="U101:U132" si="57">S101-T101</f>
        <v>8.53739447150339E-2</v>
      </c>
      <c r="V101" s="21">
        <f t="shared" ref="V101:V132" si="58">IFERROR(J101/(Q101/5),0)</f>
        <v>3.8899185879393987</v>
      </c>
      <c r="W101" s="19">
        <f t="shared" ref="W101:W132" si="59">NPV(Y101,Q101/5,Q101/5,Q101/5,Q101/5,Q101/5)-J101</f>
        <v>-1696352.6244532987</v>
      </c>
      <c r="X101" s="20">
        <f>IFERROR(NPV_IRR!L101,0)</f>
        <v>8.9973513705079E-2</v>
      </c>
      <c r="Y101" s="20">
        <f t="shared" ref="Y101:Y132" si="60">IF(D101="Finance",0.09,IF(G101-F101&gt;600,0.11,IF(AA101="High",0.12,0.1)))</f>
        <v>0.11</v>
      </c>
      <c r="Z101" s="17" t="str">
        <f>Raw_Data!O101</f>
        <v>Active</v>
      </c>
      <c r="AA101" s="17" t="str">
        <f>Raw_Data!P101</f>
        <v>Low</v>
      </c>
      <c r="AB101" s="17" t="str">
        <f t="shared" ref="AB101:AB132" si="61">IF(AG101&gt;=82,"Excellent",IF(AG101&gt;=68,"Good",IF(AG101&gt;=52,"Watch",IF(AG101&gt;=35,"Underperforming","Critical"))))</f>
        <v>Good</v>
      </c>
      <c r="AC101" s="17" t="str">
        <f t="shared" ref="AC101:AC132" si="62">IF(AND(AG101&gt;=68,W101&gt;0,AA101&lt;&gt;"High"),"Increase / Scale",IF(OR(AG101&lt;35,W101&lt;0),"Review / Restructure",IF(AND(AA101="High",U101&gt;0),"Monitor Closely","Continue")))</f>
        <v>Review / Restructure</v>
      </c>
      <c r="AD101" s="20">
        <f t="shared" ref="AD101:AD132" si="63">IFERROR(M101/L101,0)</f>
        <v>1.0131930291001732</v>
      </c>
      <c r="AE101" s="20">
        <f t="shared" ref="AE101:AE132" si="64">IFERROR(O101/N101,0)</f>
        <v>1.0496960565268298</v>
      </c>
      <c r="AF101" s="19">
        <f t="shared" ref="AF101:AF132" si="65">J101-K101</f>
        <v>-840000</v>
      </c>
      <c r="AG101" s="22">
        <f t="shared" ref="AG101:AG132" si="66">MAX(0,MIN(100,(MIN(100,MAX(0,50+U101*250))*22%)+(MIN(100,MAX(0,50+(W101/J101)*100))*18%)+(MIN(100,MAX(0,50+(X101-T101)*180))*15%)+(MIN(100,MAX(0,100-V101*12))*10%)+(MIN(100,MAX(0,100-MAX(0,AF101/K101)*250))*12%)+(MIN(100,MAX(0,AD101*100))*12%)+(MIN(100,MAX(0,AE101*100))*6%)+(IF(AA101="Low",100,IF(AA101="Medium",90,78))*5%)))</f>
        <v>68.659144547648552</v>
      </c>
      <c r="AH101" s="17" t="str">
        <f t="shared" ref="AH101:AH132" si="67">IF(U101&gt;=5%,"Significantly Above Target",IF(U101&gt;=1.5%,"Above Target",IF(U101&gt;=-1.5%,"On Target",IF(U101&gt;=-5%,"Below Target","Significantly Below Target"))))</f>
        <v>Significantly Above Target</v>
      </c>
    </row>
    <row r="102" spans="1:34" ht="15" customHeight="1" x14ac:dyDescent="0.25">
      <c r="A102" s="17" t="str">
        <f>Raw_Data!A102</f>
        <v>INV-098</v>
      </c>
      <c r="B102" s="17" t="str">
        <f>Raw_Data!B102</f>
        <v>Brand Repositioning – West</v>
      </c>
      <c r="C102" s="17" t="str">
        <f>Raw_Data!C102</f>
        <v>Marketing</v>
      </c>
      <c r="D102" s="17" t="str">
        <f>Raw_Data!D102</f>
        <v>Supply Chain</v>
      </c>
      <c r="E102" s="17" t="str">
        <f>Raw_Data!E102</f>
        <v>West</v>
      </c>
      <c r="F102" s="18">
        <f>Raw_Data!F102</f>
        <v>45566</v>
      </c>
      <c r="G102" s="18">
        <f>Raw_Data!G102</f>
        <v>46216</v>
      </c>
      <c r="H102" s="19">
        <f>Raw_Data!H102</f>
        <v>12340000</v>
      </c>
      <c r="I102" s="19">
        <f>Raw_Data!I102</f>
        <v>1800000</v>
      </c>
      <c r="J102" s="19">
        <f t="shared" si="51"/>
        <v>14140000</v>
      </c>
      <c r="K102" s="19">
        <f>Raw_Data!J102</f>
        <v>13040000</v>
      </c>
      <c r="L102" s="19">
        <f>Raw_Data!K102</f>
        <v>13317172.962576199</v>
      </c>
      <c r="M102" s="19">
        <f>Raw_Data!L102</f>
        <v>12438730.3244022</v>
      </c>
      <c r="N102" s="19">
        <f>Raw_Data!M102</f>
        <v>3038623.0431264099</v>
      </c>
      <c r="O102" s="19">
        <f>Raw_Data!N102</f>
        <v>3482204.6678069402</v>
      </c>
      <c r="P102" s="19">
        <f t="shared" si="52"/>
        <v>16355796.005702609</v>
      </c>
      <c r="Q102" s="19">
        <f t="shared" si="53"/>
        <v>15920934.99220914</v>
      </c>
      <c r="R102" s="19">
        <f t="shared" si="54"/>
        <v>1780934.9922091402</v>
      </c>
      <c r="S102" s="20">
        <f t="shared" si="55"/>
        <v>0.12595014089173551</v>
      </c>
      <c r="T102" s="20">
        <f t="shared" si="56"/>
        <v>0.22</v>
      </c>
      <c r="U102" s="20">
        <f t="shared" si="57"/>
        <v>-9.4049859108264494E-2</v>
      </c>
      <c r="V102" s="21">
        <f t="shared" si="58"/>
        <v>4.4406939689532576</v>
      </c>
      <c r="W102" s="19">
        <f t="shared" si="59"/>
        <v>-2371572.768820649</v>
      </c>
      <c r="X102" s="20">
        <f>IFERROR(NPV_IRR!L102,0)</f>
        <v>4.0891581417851874E-2</v>
      </c>
      <c r="Y102" s="20">
        <f t="shared" si="60"/>
        <v>0.11</v>
      </c>
      <c r="Z102" s="17" t="str">
        <f>Raw_Data!O102</f>
        <v>Completed</v>
      </c>
      <c r="AA102" s="17" t="str">
        <f>Raw_Data!P102</f>
        <v>High</v>
      </c>
      <c r="AB102" s="17" t="str">
        <f t="shared" si="61"/>
        <v>Underperforming</v>
      </c>
      <c r="AC102" s="17" t="str">
        <f t="shared" si="62"/>
        <v>Review / Restructure</v>
      </c>
      <c r="AD102" s="20">
        <f t="shared" si="63"/>
        <v>0.9340368529685249</v>
      </c>
      <c r="AE102" s="20">
        <f t="shared" si="64"/>
        <v>1.1459811297370184</v>
      </c>
      <c r="AF102" s="19">
        <f t="shared" si="65"/>
        <v>1100000</v>
      </c>
      <c r="AG102" s="22">
        <f t="shared" si="66"/>
        <v>49.721289837457611</v>
      </c>
      <c r="AH102" s="17" t="str">
        <f t="shared" si="67"/>
        <v>Significantly Below Target</v>
      </c>
    </row>
    <row r="103" spans="1:34" ht="15" customHeight="1" x14ac:dyDescent="0.25">
      <c r="A103" s="17" t="str">
        <f>Raw_Data!A103</f>
        <v>INV-099</v>
      </c>
      <c r="B103" s="17" t="str">
        <f>Raw_Data!B103</f>
        <v>Premium Product Line – North</v>
      </c>
      <c r="C103" s="17" t="str">
        <f>Raw_Data!C103</f>
        <v>Product Development</v>
      </c>
      <c r="D103" s="17" t="str">
        <f>Raw_Data!D103</f>
        <v>Operations</v>
      </c>
      <c r="E103" s="17" t="str">
        <f>Raw_Data!E103</f>
        <v>North</v>
      </c>
      <c r="F103" s="18">
        <f>Raw_Data!F103</f>
        <v>45525</v>
      </c>
      <c r="G103" s="18">
        <f>Raw_Data!G103</f>
        <v>46338</v>
      </c>
      <c r="H103" s="19">
        <f>Raw_Data!H103</f>
        <v>13580000</v>
      </c>
      <c r="I103" s="19">
        <f>Raw_Data!I103</f>
        <v>1620000</v>
      </c>
      <c r="J103" s="19">
        <f t="shared" si="51"/>
        <v>15200000</v>
      </c>
      <c r="K103" s="19">
        <f>Raw_Data!J103</f>
        <v>16690000</v>
      </c>
      <c r="L103" s="19">
        <f>Raw_Data!K103</f>
        <v>15739905.183076899</v>
      </c>
      <c r="M103" s="19">
        <f>Raw_Data!L103</f>
        <v>13554520.390096501</v>
      </c>
      <c r="N103" s="19">
        <f>Raw_Data!M103</f>
        <v>2744902.5373778902</v>
      </c>
      <c r="O103" s="19">
        <f>Raw_Data!N103</f>
        <v>2532139.4048037301</v>
      </c>
      <c r="P103" s="19">
        <f t="shared" si="52"/>
        <v>18484807.72045479</v>
      </c>
      <c r="Q103" s="19">
        <f t="shared" si="53"/>
        <v>16086659.794900231</v>
      </c>
      <c r="R103" s="19">
        <f t="shared" si="54"/>
        <v>886659.79490023106</v>
      </c>
      <c r="S103" s="20">
        <f t="shared" si="55"/>
        <v>5.8332881243436253E-2</v>
      </c>
      <c r="T103" s="20">
        <f t="shared" si="56"/>
        <v>0.24</v>
      </c>
      <c r="U103" s="20">
        <f t="shared" si="57"/>
        <v>-0.18166711875656374</v>
      </c>
      <c r="V103" s="21">
        <f t="shared" si="58"/>
        <v>4.7244114669530966</v>
      </c>
      <c r="W103" s="19">
        <f t="shared" si="59"/>
        <v>-3309072.4080173392</v>
      </c>
      <c r="X103" s="20">
        <f>IFERROR(NPV_IRR!L103,0)</f>
        <v>1.9200879234462009E-2</v>
      </c>
      <c r="Y103" s="20">
        <f t="shared" si="60"/>
        <v>0.11</v>
      </c>
      <c r="Z103" s="17" t="str">
        <f>Raw_Data!O103</f>
        <v>Cancelled</v>
      </c>
      <c r="AA103" s="17" t="str">
        <f>Raw_Data!P103</f>
        <v>Medium</v>
      </c>
      <c r="AB103" s="17" t="str">
        <f t="shared" si="61"/>
        <v>Underperforming</v>
      </c>
      <c r="AC103" s="17" t="str">
        <f t="shared" si="62"/>
        <v>Review / Restructure</v>
      </c>
      <c r="AD103" s="20">
        <f t="shared" si="63"/>
        <v>0.86115641945987942</v>
      </c>
      <c r="AE103" s="20">
        <f t="shared" si="64"/>
        <v>0.92248790997970909</v>
      </c>
      <c r="AF103" s="19">
        <f t="shared" si="65"/>
        <v>-1490000</v>
      </c>
      <c r="AG103" s="22">
        <f t="shared" si="66"/>
        <v>44.327604562857289</v>
      </c>
      <c r="AH103" s="17" t="str">
        <f t="shared" si="67"/>
        <v>Significantly Below Target</v>
      </c>
    </row>
    <row r="104" spans="1:34" ht="15" customHeight="1" x14ac:dyDescent="0.25">
      <c r="A104" s="17" t="str">
        <f>Raw_Data!A104</f>
        <v>INV-100</v>
      </c>
      <c r="B104" s="17" t="str">
        <f>Raw_Data!B104</f>
        <v>Tier-2 City Expansion – East</v>
      </c>
      <c r="C104" s="17" t="str">
        <f>Raw_Data!C104</f>
        <v>Expansion</v>
      </c>
      <c r="D104" s="17" t="str">
        <f>Raw_Data!D104</f>
        <v>Finance</v>
      </c>
      <c r="E104" s="17" t="str">
        <f>Raw_Data!E104</f>
        <v>East</v>
      </c>
      <c r="F104" s="18">
        <f>Raw_Data!F104</f>
        <v>46030</v>
      </c>
      <c r="G104" s="18">
        <f>Raw_Data!G104</f>
        <v>46217</v>
      </c>
      <c r="H104" s="19">
        <f>Raw_Data!H104</f>
        <v>18660000</v>
      </c>
      <c r="I104" s="19">
        <f>Raw_Data!I104</f>
        <v>2250000</v>
      </c>
      <c r="J104" s="19">
        <f t="shared" si="51"/>
        <v>20910000</v>
      </c>
      <c r="K104" s="19">
        <f>Raw_Data!J104</f>
        <v>20170000</v>
      </c>
      <c r="L104" s="19">
        <f>Raw_Data!K104</f>
        <v>22461755.7195202</v>
      </c>
      <c r="M104" s="19">
        <f>Raw_Data!L104</f>
        <v>18347568.517121401</v>
      </c>
      <c r="N104" s="19">
        <f>Raw_Data!M104</f>
        <v>2770588.49666003</v>
      </c>
      <c r="O104" s="19">
        <f>Raw_Data!N104</f>
        <v>2199147.3639113698</v>
      </c>
      <c r="P104" s="19">
        <f t="shared" si="52"/>
        <v>25232344.216180231</v>
      </c>
      <c r="Q104" s="19">
        <f t="shared" si="53"/>
        <v>20546715.881032772</v>
      </c>
      <c r="R104" s="19">
        <f t="shared" si="54"/>
        <v>-363284.11896722764</v>
      </c>
      <c r="S104" s="20">
        <f t="shared" si="55"/>
        <v>-1.7373702485281091E-2</v>
      </c>
      <c r="T104" s="20">
        <f t="shared" si="56"/>
        <v>0.18</v>
      </c>
      <c r="U104" s="20">
        <f t="shared" si="57"/>
        <v>-0.19737370248528108</v>
      </c>
      <c r="V104" s="21">
        <f t="shared" si="58"/>
        <v>5.0884044245977496</v>
      </c>
      <c r="W104" s="19">
        <f t="shared" si="59"/>
        <v>-4926088.1231224202</v>
      </c>
      <c r="X104" s="20">
        <f>IFERROR(NPV_IRR!L104,0)</f>
        <v>-5.8138333598382053E-3</v>
      </c>
      <c r="Y104" s="20">
        <f t="shared" si="60"/>
        <v>0.09</v>
      </c>
      <c r="Z104" s="17" t="str">
        <f>Raw_Data!O104</f>
        <v>On Hold</v>
      </c>
      <c r="AA104" s="17" t="str">
        <f>Raw_Data!P104</f>
        <v>Low</v>
      </c>
      <c r="AB104" s="17" t="str">
        <f t="shared" si="61"/>
        <v>Underperforming</v>
      </c>
      <c r="AC104" s="17" t="str">
        <f t="shared" si="62"/>
        <v>Review / Restructure</v>
      </c>
      <c r="AD104" s="20">
        <f t="shared" si="63"/>
        <v>0.81683590304459597</v>
      </c>
      <c r="AE104" s="20">
        <f t="shared" si="64"/>
        <v>0.79374738130994993</v>
      </c>
      <c r="AF104" s="19">
        <f t="shared" si="65"/>
        <v>740000</v>
      </c>
      <c r="AG104" s="22">
        <f t="shared" si="66"/>
        <v>41.74472318621546</v>
      </c>
      <c r="AH104" s="17" t="str">
        <f t="shared" si="67"/>
        <v>Significantly Below Target</v>
      </c>
    </row>
    <row r="105" spans="1:34" ht="15" customHeight="1" x14ac:dyDescent="0.25">
      <c r="A105" s="17" t="str">
        <f>Raw_Data!A105</f>
        <v>INV-101</v>
      </c>
      <c r="B105" s="17" t="str">
        <f>Raw_Data!B105</f>
        <v>Automated Packaging Line – Central</v>
      </c>
      <c r="C105" s="17" t="str">
        <f>Raw_Data!C105</f>
        <v>Equipment</v>
      </c>
      <c r="D105" s="17" t="str">
        <f>Raw_Data!D105</f>
        <v>Sales</v>
      </c>
      <c r="E105" s="17" t="str">
        <f>Raw_Data!E105</f>
        <v>Central</v>
      </c>
      <c r="F105" s="18">
        <f>Raw_Data!F105</f>
        <v>45721</v>
      </c>
      <c r="G105" s="18">
        <f>Raw_Data!G105</f>
        <v>46537</v>
      </c>
      <c r="H105" s="19">
        <f>Raw_Data!H105</f>
        <v>13290000</v>
      </c>
      <c r="I105" s="19">
        <f>Raw_Data!I105</f>
        <v>1450000</v>
      </c>
      <c r="J105" s="19">
        <f t="shared" si="51"/>
        <v>14740000</v>
      </c>
      <c r="K105" s="19">
        <f>Raw_Data!J105</f>
        <v>14670000</v>
      </c>
      <c r="L105" s="19">
        <f>Raw_Data!K105</f>
        <v>14302889.730615299</v>
      </c>
      <c r="M105" s="19">
        <f>Raw_Data!L105</f>
        <v>15999230.7882645</v>
      </c>
      <c r="N105" s="19">
        <f>Raw_Data!M105</f>
        <v>2239328.0951457401</v>
      </c>
      <c r="O105" s="19">
        <f>Raw_Data!N105</f>
        <v>2215020.9525784999</v>
      </c>
      <c r="P105" s="19">
        <f t="shared" si="52"/>
        <v>16542217.825761039</v>
      </c>
      <c r="Q105" s="19">
        <f t="shared" si="53"/>
        <v>18214251.740842998</v>
      </c>
      <c r="R105" s="19">
        <f t="shared" si="54"/>
        <v>3474251.740842998</v>
      </c>
      <c r="S105" s="20">
        <f t="shared" si="55"/>
        <v>0.23570228906668914</v>
      </c>
      <c r="T105" s="20">
        <f t="shared" si="56"/>
        <v>0.17</v>
      </c>
      <c r="U105" s="20">
        <f t="shared" si="57"/>
        <v>6.5702289066689123E-2</v>
      </c>
      <c r="V105" s="21">
        <f t="shared" si="58"/>
        <v>4.0462820569640918</v>
      </c>
      <c r="W105" s="19">
        <f t="shared" si="59"/>
        <v>-1276400.2624603603</v>
      </c>
      <c r="X105" s="20">
        <f>IFERROR(NPV_IRR!L105,0)</f>
        <v>7.4963050327515157E-2</v>
      </c>
      <c r="Y105" s="20">
        <f t="shared" si="60"/>
        <v>0.11</v>
      </c>
      <c r="Z105" s="17" t="str">
        <f>Raw_Data!O105</f>
        <v>Active</v>
      </c>
      <c r="AA105" s="17" t="str">
        <f>Raw_Data!P105</f>
        <v>High</v>
      </c>
      <c r="AB105" s="17" t="str">
        <f t="shared" si="61"/>
        <v>Watch</v>
      </c>
      <c r="AC105" s="17" t="str">
        <f t="shared" si="62"/>
        <v>Review / Restructure</v>
      </c>
      <c r="AD105" s="20">
        <f t="shared" si="63"/>
        <v>1.1186012819506108</v>
      </c>
      <c r="AE105" s="20">
        <f t="shared" si="64"/>
        <v>0.98914534113159591</v>
      </c>
      <c r="AF105" s="19">
        <f t="shared" si="65"/>
        <v>70000</v>
      </c>
      <c r="AG105" s="22">
        <f t="shared" si="66"/>
        <v>65.825114809200997</v>
      </c>
      <c r="AH105" s="17" t="str">
        <f t="shared" si="67"/>
        <v>Significantly Above Target</v>
      </c>
    </row>
    <row r="106" spans="1:34" ht="15" customHeight="1" x14ac:dyDescent="0.25">
      <c r="A106" s="17" t="str">
        <f>Raw_Data!A106</f>
        <v>INV-102</v>
      </c>
      <c r="B106" s="17" t="str">
        <f>Raw_Data!B106</f>
        <v>RPA Finance Rollout – South</v>
      </c>
      <c r="C106" s="17" t="str">
        <f>Raw_Data!C106</f>
        <v>Automation</v>
      </c>
      <c r="D106" s="17" t="str">
        <f>Raw_Data!D106</f>
        <v>IT</v>
      </c>
      <c r="E106" s="17" t="str">
        <f>Raw_Data!E106</f>
        <v>South</v>
      </c>
      <c r="F106" s="18">
        <f>Raw_Data!F106</f>
        <v>45511</v>
      </c>
      <c r="G106" s="18">
        <f>Raw_Data!G106</f>
        <v>46321</v>
      </c>
      <c r="H106" s="19">
        <f>Raw_Data!H106</f>
        <v>7390000</v>
      </c>
      <c r="I106" s="19">
        <f>Raw_Data!I106</f>
        <v>440000</v>
      </c>
      <c r="J106" s="19">
        <f t="shared" si="51"/>
        <v>7830000</v>
      </c>
      <c r="K106" s="19">
        <f>Raw_Data!J106</f>
        <v>7320000</v>
      </c>
      <c r="L106" s="19">
        <f>Raw_Data!K106</f>
        <v>8658388.0665375795</v>
      </c>
      <c r="M106" s="19">
        <f>Raw_Data!L106</f>
        <v>8970824.7290702593</v>
      </c>
      <c r="N106" s="19">
        <f>Raw_Data!M106</f>
        <v>1330389.8279120901</v>
      </c>
      <c r="O106" s="19">
        <f>Raw_Data!N106</f>
        <v>1302631.5665787</v>
      </c>
      <c r="P106" s="19">
        <f t="shared" si="52"/>
        <v>9988777.8944496699</v>
      </c>
      <c r="Q106" s="19">
        <f t="shared" si="53"/>
        <v>10273456.295648959</v>
      </c>
      <c r="R106" s="19">
        <f t="shared" si="54"/>
        <v>2443456.2956489585</v>
      </c>
      <c r="S106" s="20">
        <f t="shared" si="55"/>
        <v>0.31206338386321308</v>
      </c>
      <c r="T106" s="20">
        <f t="shared" si="56"/>
        <v>0.25</v>
      </c>
      <c r="U106" s="20">
        <f t="shared" si="57"/>
        <v>6.2063383863213084E-2</v>
      </c>
      <c r="V106" s="21">
        <f t="shared" si="58"/>
        <v>3.8107915070978509</v>
      </c>
      <c r="W106" s="19">
        <f t="shared" si="59"/>
        <v>-236072.70319177955</v>
      </c>
      <c r="X106" s="20">
        <f>IFERROR(NPV_IRR!L106,0)</f>
        <v>9.7942997751364613E-2</v>
      </c>
      <c r="Y106" s="20">
        <f t="shared" si="60"/>
        <v>0.11</v>
      </c>
      <c r="Z106" s="17" t="str">
        <f>Raw_Data!O106</f>
        <v>Completed</v>
      </c>
      <c r="AA106" s="17" t="str">
        <f>Raw_Data!P106</f>
        <v>Medium</v>
      </c>
      <c r="AB106" s="17" t="str">
        <f t="shared" si="61"/>
        <v>Watch</v>
      </c>
      <c r="AC106" s="17" t="str">
        <f t="shared" si="62"/>
        <v>Review / Restructure</v>
      </c>
      <c r="AD106" s="20">
        <f t="shared" si="63"/>
        <v>1.0360848532234501</v>
      </c>
      <c r="AE106" s="20">
        <f t="shared" si="64"/>
        <v>0.97913524235452565</v>
      </c>
      <c r="AF106" s="19">
        <f t="shared" si="65"/>
        <v>510000</v>
      </c>
      <c r="AG106" s="22">
        <f t="shared" si="66"/>
        <v>63.976948893540673</v>
      </c>
      <c r="AH106" s="17" t="str">
        <f t="shared" si="67"/>
        <v>Significantly Above Target</v>
      </c>
    </row>
    <row r="107" spans="1:34" ht="15" customHeight="1" x14ac:dyDescent="0.25">
      <c r="A107" s="17" t="str">
        <f>Raw_Data!A107</f>
        <v>INV-103</v>
      </c>
      <c r="B107" s="17" t="str">
        <f>Raw_Data!B107</f>
        <v>Leadership Development – West</v>
      </c>
      <c r="C107" s="17" t="str">
        <f>Raw_Data!C107</f>
        <v>Training</v>
      </c>
      <c r="D107" s="17" t="str">
        <f>Raw_Data!D107</f>
        <v>Product</v>
      </c>
      <c r="E107" s="17" t="str">
        <f>Raw_Data!E107</f>
        <v>West</v>
      </c>
      <c r="F107" s="18">
        <f>Raw_Data!F107</f>
        <v>46046</v>
      </c>
      <c r="G107" s="18">
        <f>Raw_Data!G107</f>
        <v>46302</v>
      </c>
      <c r="H107" s="19">
        <f>Raw_Data!H107</f>
        <v>2720000</v>
      </c>
      <c r="I107" s="19">
        <f>Raw_Data!I107</f>
        <v>290000</v>
      </c>
      <c r="J107" s="19">
        <f t="shared" si="51"/>
        <v>3010000</v>
      </c>
      <c r="K107" s="19">
        <f>Raw_Data!J107</f>
        <v>2900000</v>
      </c>
      <c r="L107" s="19">
        <f>Raw_Data!K107</f>
        <v>3103436.6763212499</v>
      </c>
      <c r="M107" s="19">
        <f>Raw_Data!L107</f>
        <v>2647469.4152804101</v>
      </c>
      <c r="N107" s="19">
        <f>Raw_Data!M107</f>
        <v>543423.25613627594</v>
      </c>
      <c r="O107" s="19">
        <f>Raw_Data!N107</f>
        <v>526106.21743572096</v>
      </c>
      <c r="P107" s="19">
        <f t="shared" si="52"/>
        <v>3646859.9324575257</v>
      </c>
      <c r="Q107" s="19">
        <f t="shared" si="53"/>
        <v>3173575.6327161309</v>
      </c>
      <c r="R107" s="19">
        <f t="shared" si="54"/>
        <v>163575.63271613093</v>
      </c>
      <c r="S107" s="20">
        <f t="shared" si="55"/>
        <v>5.4344064025292668E-2</v>
      </c>
      <c r="T107" s="20">
        <f t="shared" si="56"/>
        <v>0.15</v>
      </c>
      <c r="U107" s="20">
        <f t="shared" si="57"/>
        <v>-9.5655935974707326E-2</v>
      </c>
      <c r="V107" s="21">
        <f t="shared" si="58"/>
        <v>4.7422849623783296</v>
      </c>
      <c r="W107" s="19">
        <f t="shared" si="59"/>
        <v>-603930.29595653014</v>
      </c>
      <c r="X107" s="20">
        <f>IFERROR(NPV_IRR!L107,0)</f>
        <v>1.7902930478846502E-2</v>
      </c>
      <c r="Y107" s="20">
        <f t="shared" si="60"/>
        <v>0.1</v>
      </c>
      <c r="Z107" s="17" t="str">
        <f>Raw_Data!O107</f>
        <v>Cancelled</v>
      </c>
      <c r="AA107" s="17" t="str">
        <f>Raw_Data!P107</f>
        <v>Low</v>
      </c>
      <c r="AB107" s="17" t="str">
        <f t="shared" si="61"/>
        <v>Underperforming</v>
      </c>
      <c r="AC107" s="17" t="str">
        <f t="shared" si="62"/>
        <v>Review / Restructure</v>
      </c>
      <c r="AD107" s="20">
        <f t="shared" si="63"/>
        <v>0.85307666674180893</v>
      </c>
      <c r="AE107" s="20">
        <f t="shared" si="64"/>
        <v>0.9681334236159147</v>
      </c>
      <c r="AF107" s="19">
        <f t="shared" si="65"/>
        <v>110000</v>
      </c>
      <c r="AG107" s="22">
        <f t="shared" si="66"/>
        <v>51.277806899501478</v>
      </c>
      <c r="AH107" s="17" t="str">
        <f t="shared" si="67"/>
        <v>Significantly Below Target</v>
      </c>
    </row>
    <row r="108" spans="1:34" ht="15" customHeight="1" x14ac:dyDescent="0.25">
      <c r="A108" s="17" t="str">
        <f>Raw_Data!A108</f>
        <v>INV-104</v>
      </c>
      <c r="B108" s="17" t="str">
        <f>Raw_Data!B108</f>
        <v>Plant Utility Upgrade – North</v>
      </c>
      <c r="C108" s="17" t="str">
        <f>Raw_Data!C108</f>
        <v>Infrastructure</v>
      </c>
      <c r="D108" s="17" t="str">
        <f>Raw_Data!D108</f>
        <v>Marketing</v>
      </c>
      <c r="E108" s="17" t="str">
        <f>Raw_Data!E108</f>
        <v>North</v>
      </c>
      <c r="F108" s="18">
        <f>Raw_Data!F108</f>
        <v>45921</v>
      </c>
      <c r="G108" s="18">
        <f>Raw_Data!G108</f>
        <v>46801</v>
      </c>
      <c r="H108" s="19">
        <f>Raw_Data!H108</f>
        <v>39900000</v>
      </c>
      <c r="I108" s="19">
        <f>Raw_Data!I108</f>
        <v>3030000</v>
      </c>
      <c r="J108" s="19">
        <f t="shared" si="51"/>
        <v>42930000</v>
      </c>
      <c r="K108" s="19">
        <f>Raw_Data!J108</f>
        <v>44890000</v>
      </c>
      <c r="L108" s="19">
        <f>Raw_Data!K108</f>
        <v>39131008.285739899</v>
      </c>
      <c r="M108" s="19">
        <f>Raw_Data!L108</f>
        <v>40274213.8399617</v>
      </c>
      <c r="N108" s="19">
        <f>Raw_Data!M108</f>
        <v>7318356.6308281701</v>
      </c>
      <c r="O108" s="19">
        <f>Raw_Data!N108</f>
        <v>8169414.2011064803</v>
      </c>
      <c r="P108" s="19">
        <f t="shared" si="52"/>
        <v>46449364.916568071</v>
      </c>
      <c r="Q108" s="19">
        <f t="shared" si="53"/>
        <v>48443628.041068181</v>
      </c>
      <c r="R108" s="19">
        <f t="shared" si="54"/>
        <v>5513628.0410681814</v>
      </c>
      <c r="S108" s="20">
        <f t="shared" si="55"/>
        <v>0.12843298488395485</v>
      </c>
      <c r="T108" s="20">
        <f t="shared" si="56"/>
        <v>0.13</v>
      </c>
      <c r="U108" s="20">
        <f t="shared" si="57"/>
        <v>-1.5670151160451506E-3</v>
      </c>
      <c r="V108" s="21">
        <f t="shared" si="58"/>
        <v>4.4309232953822129</v>
      </c>
      <c r="W108" s="19">
        <f t="shared" si="59"/>
        <v>-7121467.9197792262</v>
      </c>
      <c r="X108" s="20">
        <f>IFERROR(NPV_IRR!L108,0)</f>
        <v>4.1677296693717558E-2</v>
      </c>
      <c r="Y108" s="20">
        <f t="shared" si="60"/>
        <v>0.11</v>
      </c>
      <c r="Z108" s="17" t="str">
        <f>Raw_Data!O108</f>
        <v>On Hold</v>
      </c>
      <c r="AA108" s="17" t="str">
        <f>Raw_Data!P108</f>
        <v>High</v>
      </c>
      <c r="AB108" s="17" t="str">
        <f t="shared" si="61"/>
        <v>Watch</v>
      </c>
      <c r="AC108" s="17" t="str">
        <f t="shared" si="62"/>
        <v>Review / Restructure</v>
      </c>
      <c r="AD108" s="20">
        <f t="shared" si="63"/>
        <v>1.0292148248742776</v>
      </c>
      <c r="AE108" s="20">
        <f t="shared" si="64"/>
        <v>1.1162908031419618</v>
      </c>
      <c r="AF108" s="19">
        <f t="shared" si="65"/>
        <v>-1960000</v>
      </c>
      <c r="AG108" s="22">
        <f t="shared" si="66"/>
        <v>60.626052797308844</v>
      </c>
      <c r="AH108" s="17" t="str">
        <f t="shared" si="67"/>
        <v>On Target</v>
      </c>
    </row>
    <row r="109" spans="1:34" ht="15" customHeight="1" x14ac:dyDescent="0.25">
      <c r="A109" s="17" t="str">
        <f>Raw_Data!A109</f>
        <v>INV-105</v>
      </c>
      <c r="B109" s="17" t="str">
        <f>Raw_Data!B109</f>
        <v>ERP Cloud Migration – East</v>
      </c>
      <c r="C109" s="17" t="str">
        <f>Raw_Data!C109</f>
        <v>Technology</v>
      </c>
      <c r="D109" s="17" t="str">
        <f>Raw_Data!D109</f>
        <v>HR</v>
      </c>
      <c r="E109" s="17" t="str">
        <f>Raw_Data!E109</f>
        <v>East</v>
      </c>
      <c r="F109" s="18">
        <f>Raw_Data!F109</f>
        <v>45734</v>
      </c>
      <c r="G109" s="18">
        <f>Raw_Data!G109</f>
        <v>46528</v>
      </c>
      <c r="H109" s="19">
        <f>Raw_Data!H109</f>
        <v>29850000</v>
      </c>
      <c r="I109" s="19">
        <f>Raw_Data!I109</f>
        <v>4780000</v>
      </c>
      <c r="J109" s="19">
        <f t="shared" si="51"/>
        <v>34630000</v>
      </c>
      <c r="K109" s="19">
        <f>Raw_Data!J109</f>
        <v>34410000</v>
      </c>
      <c r="L109" s="19">
        <f>Raw_Data!K109</f>
        <v>34300234.862567</v>
      </c>
      <c r="M109" s="19">
        <f>Raw_Data!L109</f>
        <v>34506867.607726797</v>
      </c>
      <c r="N109" s="19">
        <f>Raw_Data!M109</f>
        <v>6103126.8995718099</v>
      </c>
      <c r="O109" s="19">
        <f>Raw_Data!N109</f>
        <v>5510067.8447357798</v>
      </c>
      <c r="P109" s="19">
        <f t="shared" si="52"/>
        <v>40403361.762138814</v>
      </c>
      <c r="Q109" s="19">
        <f t="shared" si="53"/>
        <v>40016935.452462576</v>
      </c>
      <c r="R109" s="19">
        <f t="shared" si="54"/>
        <v>5386935.4524625763</v>
      </c>
      <c r="S109" s="20">
        <f t="shared" si="55"/>
        <v>0.15555690015774115</v>
      </c>
      <c r="T109" s="20">
        <f t="shared" si="56"/>
        <v>0.2</v>
      </c>
      <c r="U109" s="20">
        <f t="shared" si="57"/>
        <v>-4.444309984225886E-2</v>
      </c>
      <c r="V109" s="21">
        <f t="shared" si="58"/>
        <v>4.3269180421297015</v>
      </c>
      <c r="W109" s="19">
        <f t="shared" si="59"/>
        <v>-5050305.5211544856</v>
      </c>
      <c r="X109" s="20">
        <f>IFERROR(NPV_IRR!L109,0)</f>
        <v>5.0213889198849948E-2</v>
      </c>
      <c r="Y109" s="20">
        <f t="shared" si="60"/>
        <v>0.11</v>
      </c>
      <c r="Z109" s="17" t="str">
        <f>Raw_Data!O109</f>
        <v>Active</v>
      </c>
      <c r="AA109" s="17" t="str">
        <f>Raw_Data!P109</f>
        <v>Medium</v>
      </c>
      <c r="AB109" s="17" t="str">
        <f t="shared" si="61"/>
        <v>Watch</v>
      </c>
      <c r="AC109" s="17" t="str">
        <f t="shared" si="62"/>
        <v>Review / Restructure</v>
      </c>
      <c r="AD109" s="20">
        <f t="shared" si="63"/>
        <v>1.006024237034753</v>
      </c>
      <c r="AE109" s="20">
        <f t="shared" si="64"/>
        <v>0.90282701562740919</v>
      </c>
      <c r="AF109" s="19">
        <f t="shared" si="65"/>
        <v>220000</v>
      </c>
      <c r="AG109" s="22">
        <f t="shared" si="66"/>
        <v>56.919209735981909</v>
      </c>
      <c r="AH109" s="17" t="str">
        <f t="shared" si="67"/>
        <v>Below Target</v>
      </c>
    </row>
    <row r="110" spans="1:34" ht="15" customHeight="1" x14ac:dyDescent="0.25">
      <c r="A110" s="17" t="str">
        <f>Raw_Data!A110</f>
        <v>INV-106</v>
      </c>
      <c r="B110" s="17" t="str">
        <f>Raw_Data!B110</f>
        <v>Brand Repositioning – Central</v>
      </c>
      <c r="C110" s="17" t="str">
        <f>Raw_Data!C110</f>
        <v>Marketing</v>
      </c>
      <c r="D110" s="17" t="str">
        <f>Raw_Data!D110</f>
        <v>Supply Chain</v>
      </c>
      <c r="E110" s="17" t="str">
        <f>Raw_Data!E110</f>
        <v>Central</v>
      </c>
      <c r="F110" s="18">
        <f>Raw_Data!F110</f>
        <v>45659</v>
      </c>
      <c r="G110" s="18">
        <f>Raw_Data!G110</f>
        <v>45966</v>
      </c>
      <c r="H110" s="19">
        <f>Raw_Data!H110</f>
        <v>8150000</v>
      </c>
      <c r="I110" s="19">
        <f>Raw_Data!I110</f>
        <v>550000</v>
      </c>
      <c r="J110" s="19">
        <f t="shared" si="51"/>
        <v>8700000</v>
      </c>
      <c r="K110" s="19">
        <f>Raw_Data!J110</f>
        <v>8030000</v>
      </c>
      <c r="L110" s="19">
        <f>Raw_Data!K110</f>
        <v>10232004.504745901</v>
      </c>
      <c r="M110" s="19">
        <f>Raw_Data!L110</f>
        <v>9514614.8836031798</v>
      </c>
      <c r="N110" s="19">
        <f>Raw_Data!M110</f>
        <v>449362.64321555803</v>
      </c>
      <c r="O110" s="19">
        <f>Raw_Data!N110</f>
        <v>411048.54279084399</v>
      </c>
      <c r="P110" s="19">
        <f t="shared" si="52"/>
        <v>10681367.147961458</v>
      </c>
      <c r="Q110" s="19">
        <f t="shared" si="53"/>
        <v>9925663.426394023</v>
      </c>
      <c r="R110" s="19">
        <f t="shared" si="54"/>
        <v>1225663.426394023</v>
      </c>
      <c r="S110" s="20">
        <f t="shared" si="55"/>
        <v>0.14088085360850838</v>
      </c>
      <c r="T110" s="20">
        <f t="shared" si="56"/>
        <v>0.22</v>
      </c>
      <c r="U110" s="20">
        <f t="shared" si="57"/>
        <v>-7.9119146391491618E-2</v>
      </c>
      <c r="V110" s="21">
        <f t="shared" si="58"/>
        <v>4.3825785875759316</v>
      </c>
      <c r="W110" s="19">
        <f t="shared" si="59"/>
        <v>-1174785.2811248451</v>
      </c>
      <c r="X110" s="20">
        <f>IFERROR(NPV_IRR!L110,0)</f>
        <v>4.5605561775867054E-2</v>
      </c>
      <c r="Y110" s="20">
        <f t="shared" si="60"/>
        <v>0.1</v>
      </c>
      <c r="Z110" s="17" t="str">
        <f>Raw_Data!O110</f>
        <v>Completed</v>
      </c>
      <c r="AA110" s="17" t="str">
        <f>Raw_Data!P110</f>
        <v>Low</v>
      </c>
      <c r="AB110" s="17" t="str">
        <f t="shared" si="61"/>
        <v>Underperforming</v>
      </c>
      <c r="AC110" s="17" t="str">
        <f t="shared" si="62"/>
        <v>Review / Restructure</v>
      </c>
      <c r="AD110" s="20">
        <f t="shared" si="63"/>
        <v>0.92988767540026251</v>
      </c>
      <c r="AE110" s="20">
        <f t="shared" si="64"/>
        <v>0.91473679220296278</v>
      </c>
      <c r="AF110" s="19">
        <f t="shared" si="65"/>
        <v>670000</v>
      </c>
      <c r="AG110" s="22">
        <f t="shared" si="66"/>
        <v>51.894072107505018</v>
      </c>
      <c r="AH110" s="17" t="str">
        <f t="shared" si="67"/>
        <v>Significantly Below Target</v>
      </c>
    </row>
    <row r="111" spans="1:34" ht="15" customHeight="1" x14ac:dyDescent="0.25">
      <c r="A111" s="17" t="str">
        <f>Raw_Data!A111</f>
        <v>INV-107</v>
      </c>
      <c r="B111" s="17" t="str">
        <f>Raw_Data!B111</f>
        <v>Premium Product Line – South</v>
      </c>
      <c r="C111" s="17" t="str">
        <f>Raw_Data!C111</f>
        <v>Product Development</v>
      </c>
      <c r="D111" s="17" t="str">
        <f>Raw_Data!D111</f>
        <v>Operations</v>
      </c>
      <c r="E111" s="17" t="str">
        <f>Raw_Data!E111</f>
        <v>South</v>
      </c>
      <c r="F111" s="18">
        <f>Raw_Data!F111</f>
        <v>45975</v>
      </c>
      <c r="G111" s="18">
        <f>Raw_Data!G111</f>
        <v>46264</v>
      </c>
      <c r="H111" s="19">
        <f>Raw_Data!H111</f>
        <v>23810000</v>
      </c>
      <c r="I111" s="19">
        <f>Raw_Data!I111</f>
        <v>570000</v>
      </c>
      <c r="J111" s="19">
        <f t="shared" si="51"/>
        <v>24380000</v>
      </c>
      <c r="K111" s="19">
        <f>Raw_Data!J111</f>
        <v>24810000</v>
      </c>
      <c r="L111" s="19">
        <f>Raw_Data!K111</f>
        <v>25246049.5364483</v>
      </c>
      <c r="M111" s="19">
        <f>Raw_Data!L111</f>
        <v>22408467.3316245</v>
      </c>
      <c r="N111" s="19">
        <f>Raw_Data!M111</f>
        <v>3167348.8525920301</v>
      </c>
      <c r="O111" s="19">
        <f>Raw_Data!N111</f>
        <v>2554067.7281899201</v>
      </c>
      <c r="P111" s="19">
        <f t="shared" si="52"/>
        <v>28413398.389040329</v>
      </c>
      <c r="Q111" s="19">
        <f t="shared" si="53"/>
        <v>24962535.05981442</v>
      </c>
      <c r="R111" s="19">
        <f t="shared" si="54"/>
        <v>582535.0598144196</v>
      </c>
      <c r="S111" s="20">
        <f t="shared" si="55"/>
        <v>2.3893972921018032E-2</v>
      </c>
      <c r="T111" s="20">
        <f t="shared" si="56"/>
        <v>0.24</v>
      </c>
      <c r="U111" s="20">
        <f t="shared" si="57"/>
        <v>-0.21610602707898197</v>
      </c>
      <c r="V111" s="21">
        <f t="shared" si="58"/>
        <v>4.883318128864202</v>
      </c>
      <c r="W111" s="19">
        <f t="shared" si="59"/>
        <v>-6383129.5332356319</v>
      </c>
      <c r="X111" s="20">
        <f>IFERROR(NPV_IRR!L111,0)</f>
        <v>7.9229746608031615E-3</v>
      </c>
      <c r="Y111" s="20">
        <f t="shared" si="60"/>
        <v>0.12</v>
      </c>
      <c r="Z111" s="17" t="str">
        <f>Raw_Data!O111</f>
        <v>Cancelled</v>
      </c>
      <c r="AA111" s="17" t="str">
        <f>Raw_Data!P111</f>
        <v>High</v>
      </c>
      <c r="AB111" s="17" t="str">
        <f t="shared" si="61"/>
        <v>Underperforming</v>
      </c>
      <c r="AC111" s="17" t="str">
        <f t="shared" si="62"/>
        <v>Review / Restructure</v>
      </c>
      <c r="AD111" s="20">
        <f t="shared" si="63"/>
        <v>0.88760292176694344</v>
      </c>
      <c r="AE111" s="20">
        <f t="shared" si="64"/>
        <v>0.80637398880132016</v>
      </c>
      <c r="AF111" s="19">
        <f t="shared" si="65"/>
        <v>-430000</v>
      </c>
      <c r="AG111" s="22">
        <f t="shared" si="66"/>
        <v>41.050688613532479</v>
      </c>
      <c r="AH111" s="17" t="str">
        <f t="shared" si="67"/>
        <v>Significantly Below Target</v>
      </c>
    </row>
    <row r="112" spans="1:34" ht="15" customHeight="1" x14ac:dyDescent="0.25">
      <c r="A112" s="17" t="str">
        <f>Raw_Data!A112</f>
        <v>INV-108</v>
      </c>
      <c r="B112" s="17" t="str">
        <f>Raw_Data!B112</f>
        <v>Tier-2 City Expansion – West</v>
      </c>
      <c r="C112" s="17" t="str">
        <f>Raw_Data!C112</f>
        <v>Expansion</v>
      </c>
      <c r="D112" s="17" t="str">
        <f>Raw_Data!D112</f>
        <v>Finance</v>
      </c>
      <c r="E112" s="17" t="str">
        <f>Raw_Data!E112</f>
        <v>West</v>
      </c>
      <c r="F112" s="18">
        <f>Raw_Data!F112</f>
        <v>45914</v>
      </c>
      <c r="G112" s="18">
        <f>Raw_Data!G112</f>
        <v>46766</v>
      </c>
      <c r="H112" s="19">
        <f>Raw_Data!H112</f>
        <v>57030000</v>
      </c>
      <c r="I112" s="19">
        <f>Raw_Data!I112</f>
        <v>6420000</v>
      </c>
      <c r="J112" s="19">
        <f t="shared" si="51"/>
        <v>63450000</v>
      </c>
      <c r="K112" s="19">
        <f>Raw_Data!J112</f>
        <v>68720000</v>
      </c>
      <c r="L112" s="19">
        <f>Raw_Data!K112</f>
        <v>66209455.857638396</v>
      </c>
      <c r="M112" s="19">
        <f>Raw_Data!L112</f>
        <v>63408996.387248702</v>
      </c>
      <c r="N112" s="19">
        <f>Raw_Data!M112</f>
        <v>10088352.8267146</v>
      </c>
      <c r="O112" s="19">
        <f>Raw_Data!N112</f>
        <v>8198275.8489958998</v>
      </c>
      <c r="P112" s="19">
        <f t="shared" si="52"/>
        <v>76297808.684352994</v>
      </c>
      <c r="Q112" s="19">
        <f t="shared" si="53"/>
        <v>71607272.236244604</v>
      </c>
      <c r="R112" s="19">
        <f t="shared" si="54"/>
        <v>8157272.236244604</v>
      </c>
      <c r="S112" s="20">
        <f t="shared" si="55"/>
        <v>0.12856221018510014</v>
      </c>
      <c r="T112" s="20">
        <f t="shared" si="56"/>
        <v>0.18</v>
      </c>
      <c r="U112" s="20">
        <f t="shared" si="57"/>
        <v>-5.1437789814899854E-2</v>
      </c>
      <c r="V112" s="21">
        <f t="shared" si="58"/>
        <v>4.4304159353164323</v>
      </c>
      <c r="W112" s="19">
        <f t="shared" si="59"/>
        <v>-7744536.6162241772</v>
      </c>
      <c r="X112" s="20">
        <f>IFERROR(NPV_IRR!L112,0)</f>
        <v>4.1718171005721505E-2</v>
      </c>
      <c r="Y112" s="20">
        <f t="shared" si="60"/>
        <v>0.09</v>
      </c>
      <c r="Z112" s="17" t="str">
        <f>Raw_Data!O112</f>
        <v>On Hold</v>
      </c>
      <c r="AA112" s="17" t="str">
        <f>Raw_Data!P112</f>
        <v>Medium</v>
      </c>
      <c r="AB112" s="17" t="str">
        <f t="shared" si="61"/>
        <v>Watch</v>
      </c>
      <c r="AC112" s="17" t="str">
        <f t="shared" si="62"/>
        <v>Review / Restructure</v>
      </c>
      <c r="AD112" s="20">
        <f t="shared" si="63"/>
        <v>0.95770302845546473</v>
      </c>
      <c r="AE112" s="20">
        <f t="shared" si="64"/>
        <v>0.81264761352183723</v>
      </c>
      <c r="AF112" s="19">
        <f t="shared" si="65"/>
        <v>-5270000</v>
      </c>
      <c r="AG112" s="22">
        <f t="shared" si="66"/>
        <v>56.292103413374804</v>
      </c>
      <c r="AH112" s="17" t="str">
        <f t="shared" si="67"/>
        <v>Significantly Below Target</v>
      </c>
    </row>
    <row r="113" spans="1:34" ht="15" customHeight="1" x14ac:dyDescent="0.25">
      <c r="A113" s="17" t="str">
        <f>Raw_Data!A113</f>
        <v>INV-109</v>
      </c>
      <c r="B113" s="17" t="str">
        <f>Raw_Data!B113</f>
        <v>Automated Packaging Line – North</v>
      </c>
      <c r="C113" s="17" t="str">
        <f>Raw_Data!C113</f>
        <v>Equipment</v>
      </c>
      <c r="D113" s="17" t="str">
        <f>Raw_Data!D113</f>
        <v>Sales</v>
      </c>
      <c r="E113" s="17" t="str">
        <f>Raw_Data!E113</f>
        <v>North</v>
      </c>
      <c r="F113" s="18">
        <f>Raw_Data!F113</f>
        <v>45494</v>
      </c>
      <c r="G113" s="18">
        <f>Raw_Data!G113</f>
        <v>46296</v>
      </c>
      <c r="H113" s="19">
        <f>Raw_Data!H113</f>
        <v>30270000</v>
      </c>
      <c r="I113" s="19">
        <f>Raw_Data!I113</f>
        <v>820000</v>
      </c>
      <c r="J113" s="19">
        <f t="shared" si="51"/>
        <v>31090000</v>
      </c>
      <c r="K113" s="19">
        <f>Raw_Data!J113</f>
        <v>31180000</v>
      </c>
      <c r="L113" s="19">
        <f>Raw_Data!K113</f>
        <v>33951117.6002222</v>
      </c>
      <c r="M113" s="19">
        <f>Raw_Data!L113</f>
        <v>33600684.152411699</v>
      </c>
      <c r="N113" s="19">
        <f>Raw_Data!M113</f>
        <v>2319470.5040207999</v>
      </c>
      <c r="O113" s="19">
        <f>Raw_Data!N113</f>
        <v>1793567.58039494</v>
      </c>
      <c r="P113" s="19">
        <f t="shared" si="52"/>
        <v>36270588.104243003</v>
      </c>
      <c r="Q113" s="19">
        <f t="shared" si="53"/>
        <v>35394251.732806638</v>
      </c>
      <c r="R113" s="19">
        <f t="shared" si="54"/>
        <v>4304251.7328066379</v>
      </c>
      <c r="S113" s="20">
        <f t="shared" si="55"/>
        <v>0.13844489330352647</v>
      </c>
      <c r="T113" s="20">
        <f t="shared" si="56"/>
        <v>0.17</v>
      </c>
      <c r="U113" s="20">
        <f t="shared" si="57"/>
        <v>-3.1555106696473545E-2</v>
      </c>
      <c r="V113" s="21">
        <f t="shared" si="58"/>
        <v>4.3919561055705181</v>
      </c>
      <c r="W113" s="19">
        <f t="shared" si="59"/>
        <v>-4927298.1157571115</v>
      </c>
      <c r="X113" s="20">
        <f>IFERROR(NPV_IRR!L113,0)</f>
        <v>4.4838256350330896E-2</v>
      </c>
      <c r="Y113" s="20">
        <f t="shared" si="60"/>
        <v>0.11</v>
      </c>
      <c r="Z113" s="17" t="str">
        <f>Raw_Data!O113</f>
        <v>Active</v>
      </c>
      <c r="AA113" s="17" t="str">
        <f>Raw_Data!P113</f>
        <v>Low</v>
      </c>
      <c r="AB113" s="17" t="str">
        <f t="shared" si="61"/>
        <v>Watch</v>
      </c>
      <c r="AC113" s="17" t="str">
        <f t="shared" si="62"/>
        <v>Review / Restructure</v>
      </c>
      <c r="AD113" s="20">
        <f t="shared" si="63"/>
        <v>0.98967829418940223</v>
      </c>
      <c r="AE113" s="20">
        <f t="shared" si="64"/>
        <v>0.7732659575906623</v>
      </c>
      <c r="AF113" s="19">
        <f t="shared" si="65"/>
        <v>-90000</v>
      </c>
      <c r="AG113" s="22">
        <f t="shared" si="66"/>
        <v>57.777760311592615</v>
      </c>
      <c r="AH113" s="17" t="str">
        <f t="shared" si="67"/>
        <v>Below Target</v>
      </c>
    </row>
    <row r="114" spans="1:34" ht="15" customHeight="1" x14ac:dyDescent="0.25">
      <c r="A114" s="17" t="str">
        <f>Raw_Data!A114</f>
        <v>INV-110</v>
      </c>
      <c r="B114" s="17" t="str">
        <f>Raw_Data!B114</f>
        <v>RPA Finance Rollout – East</v>
      </c>
      <c r="C114" s="17" t="str">
        <f>Raw_Data!C114</f>
        <v>Automation</v>
      </c>
      <c r="D114" s="17" t="str">
        <f>Raw_Data!D114</f>
        <v>IT</v>
      </c>
      <c r="E114" s="17" t="str">
        <f>Raw_Data!E114</f>
        <v>East</v>
      </c>
      <c r="F114" s="18">
        <f>Raw_Data!F114</f>
        <v>45786</v>
      </c>
      <c r="G114" s="18">
        <f>Raw_Data!G114</f>
        <v>46643</v>
      </c>
      <c r="H114" s="19">
        <f>Raw_Data!H114</f>
        <v>27100000</v>
      </c>
      <c r="I114" s="19">
        <f>Raw_Data!I114</f>
        <v>1840000</v>
      </c>
      <c r="J114" s="19">
        <f t="shared" si="51"/>
        <v>28940000</v>
      </c>
      <c r="K114" s="19">
        <f>Raw_Data!J114</f>
        <v>30160000</v>
      </c>
      <c r="L114" s="19">
        <f>Raw_Data!K114</f>
        <v>32713319.6885553</v>
      </c>
      <c r="M114" s="19">
        <f>Raw_Data!L114</f>
        <v>34450755.729805604</v>
      </c>
      <c r="N114" s="19">
        <f>Raw_Data!M114</f>
        <v>1960377.3696409001</v>
      </c>
      <c r="O114" s="19">
        <f>Raw_Data!N114</f>
        <v>1822350.8730898099</v>
      </c>
      <c r="P114" s="19">
        <f t="shared" si="52"/>
        <v>34673697.058196202</v>
      </c>
      <c r="Q114" s="19">
        <f t="shared" si="53"/>
        <v>36273106.602895416</v>
      </c>
      <c r="R114" s="19">
        <f t="shared" si="54"/>
        <v>7333106.6028954163</v>
      </c>
      <c r="S114" s="20">
        <f t="shared" si="55"/>
        <v>0.25339000010004892</v>
      </c>
      <c r="T114" s="20">
        <f t="shared" si="56"/>
        <v>0.25</v>
      </c>
      <c r="U114" s="20">
        <f t="shared" si="57"/>
        <v>3.3900001000489177E-3</v>
      </c>
      <c r="V114" s="21">
        <f t="shared" si="58"/>
        <v>3.9891813398869358</v>
      </c>
      <c r="W114" s="19">
        <f t="shared" si="59"/>
        <v>-2127666.6970955469</v>
      </c>
      <c r="X114" s="20">
        <f>IFERROR(NPV_IRR!L114,0)</f>
        <v>8.0335559856817174E-2</v>
      </c>
      <c r="Y114" s="20">
        <f t="shared" si="60"/>
        <v>0.11</v>
      </c>
      <c r="Z114" s="17" t="str">
        <f>Raw_Data!O114</f>
        <v>Completed</v>
      </c>
      <c r="AA114" s="17" t="str">
        <f>Raw_Data!P114</f>
        <v>High</v>
      </c>
      <c r="AB114" s="17" t="str">
        <f t="shared" si="61"/>
        <v>Watch</v>
      </c>
      <c r="AC114" s="17" t="str">
        <f t="shared" si="62"/>
        <v>Review / Restructure</v>
      </c>
      <c r="AD114" s="20">
        <f t="shared" si="63"/>
        <v>1.0531109669636538</v>
      </c>
      <c r="AE114" s="20">
        <f t="shared" si="64"/>
        <v>0.92959187415208033</v>
      </c>
      <c r="AF114" s="19">
        <f t="shared" si="65"/>
        <v>-1220000</v>
      </c>
      <c r="AG114" s="22">
        <f t="shared" si="66"/>
        <v>60.472685066642072</v>
      </c>
      <c r="AH114" s="17" t="str">
        <f t="shared" si="67"/>
        <v>On Target</v>
      </c>
    </row>
    <row r="115" spans="1:34" ht="15" customHeight="1" x14ac:dyDescent="0.25">
      <c r="A115" s="17" t="str">
        <f>Raw_Data!A115</f>
        <v>INV-111</v>
      </c>
      <c r="B115" s="17" t="str">
        <f>Raw_Data!B115</f>
        <v>Leadership Development – Central</v>
      </c>
      <c r="C115" s="17" t="str">
        <f>Raw_Data!C115</f>
        <v>Training</v>
      </c>
      <c r="D115" s="17" t="str">
        <f>Raw_Data!D115</f>
        <v>Product</v>
      </c>
      <c r="E115" s="17" t="str">
        <f>Raw_Data!E115</f>
        <v>Central</v>
      </c>
      <c r="F115" s="18">
        <f>Raw_Data!F115</f>
        <v>46007</v>
      </c>
      <c r="G115" s="18">
        <f>Raw_Data!G115</f>
        <v>46702</v>
      </c>
      <c r="H115" s="19">
        <f>Raw_Data!H115</f>
        <v>5470000</v>
      </c>
      <c r="I115" s="19">
        <f>Raw_Data!I115</f>
        <v>340000</v>
      </c>
      <c r="J115" s="19">
        <f t="shared" si="51"/>
        <v>5810000</v>
      </c>
      <c r="K115" s="19">
        <f>Raw_Data!J115</f>
        <v>5640000</v>
      </c>
      <c r="L115" s="19">
        <f>Raw_Data!K115</f>
        <v>6368721.0912234699</v>
      </c>
      <c r="M115" s="19">
        <f>Raw_Data!L115</f>
        <v>4708765.6800000202</v>
      </c>
      <c r="N115" s="19">
        <f>Raw_Data!M115</f>
        <v>498592.61807862198</v>
      </c>
      <c r="O115" s="19">
        <f>Raw_Data!N115</f>
        <v>514050.17771215597</v>
      </c>
      <c r="P115" s="19">
        <f t="shared" si="52"/>
        <v>6867313.709302092</v>
      </c>
      <c r="Q115" s="19">
        <f t="shared" si="53"/>
        <v>5222815.8577121757</v>
      </c>
      <c r="R115" s="19">
        <f t="shared" si="54"/>
        <v>-587184.1422878243</v>
      </c>
      <c r="S115" s="20">
        <f t="shared" si="55"/>
        <v>-0.1010643962629646</v>
      </c>
      <c r="T115" s="20">
        <f t="shared" si="56"/>
        <v>0.15</v>
      </c>
      <c r="U115" s="20">
        <f t="shared" si="57"/>
        <v>-0.25106439626296462</v>
      </c>
      <c r="V115" s="21">
        <f t="shared" si="58"/>
        <v>5.5621336825620311</v>
      </c>
      <c r="W115" s="19">
        <f t="shared" si="59"/>
        <v>-1949402.0895498479</v>
      </c>
      <c r="X115" s="20">
        <f>IFERROR(NPV_IRR!L115,0)</f>
        <v>-3.4494975102094094E-2</v>
      </c>
      <c r="Y115" s="20">
        <f t="shared" si="60"/>
        <v>0.11</v>
      </c>
      <c r="Z115" s="17" t="str">
        <f>Raw_Data!O115</f>
        <v>Cancelled</v>
      </c>
      <c r="AA115" s="17" t="str">
        <f>Raw_Data!P115</f>
        <v>Medium</v>
      </c>
      <c r="AB115" s="17" t="str">
        <f t="shared" si="61"/>
        <v>Underperforming</v>
      </c>
      <c r="AC115" s="17" t="str">
        <f t="shared" si="62"/>
        <v>Review / Restructure</v>
      </c>
      <c r="AD115" s="20">
        <f t="shared" si="63"/>
        <v>0.73935812426909686</v>
      </c>
      <c r="AE115" s="20">
        <f t="shared" si="64"/>
        <v>1.031002383655621</v>
      </c>
      <c r="AF115" s="19">
        <f t="shared" si="65"/>
        <v>170000</v>
      </c>
      <c r="AG115" s="22">
        <f t="shared" si="66"/>
        <v>39.272661726127517</v>
      </c>
      <c r="AH115" s="17" t="str">
        <f t="shared" si="67"/>
        <v>Significantly Below Target</v>
      </c>
    </row>
    <row r="116" spans="1:34" ht="15" customHeight="1" x14ac:dyDescent="0.25">
      <c r="A116" s="17" t="str">
        <f>Raw_Data!A116</f>
        <v>INV-112</v>
      </c>
      <c r="B116" s="17" t="str">
        <f>Raw_Data!B116</f>
        <v>Plant Utility Upgrade – South</v>
      </c>
      <c r="C116" s="17" t="str">
        <f>Raw_Data!C116</f>
        <v>Infrastructure</v>
      </c>
      <c r="D116" s="17" t="str">
        <f>Raw_Data!D116</f>
        <v>Marketing</v>
      </c>
      <c r="E116" s="17" t="str">
        <f>Raw_Data!E116</f>
        <v>South</v>
      </c>
      <c r="F116" s="18">
        <f>Raw_Data!F116</f>
        <v>45472</v>
      </c>
      <c r="G116" s="18">
        <f>Raw_Data!G116</f>
        <v>46329</v>
      </c>
      <c r="H116" s="19">
        <f>Raw_Data!H116</f>
        <v>49040000</v>
      </c>
      <c r="I116" s="19">
        <f>Raw_Data!I116</f>
        <v>7830000</v>
      </c>
      <c r="J116" s="19">
        <f t="shared" si="51"/>
        <v>56870000</v>
      </c>
      <c r="K116" s="19">
        <f>Raw_Data!J116</f>
        <v>54100000</v>
      </c>
      <c r="L116" s="19">
        <f>Raw_Data!K116</f>
        <v>54416300.842181697</v>
      </c>
      <c r="M116" s="19">
        <f>Raw_Data!L116</f>
        <v>46166162.616373099</v>
      </c>
      <c r="N116" s="19">
        <f>Raw_Data!M116</f>
        <v>12350317.409940001</v>
      </c>
      <c r="O116" s="19">
        <f>Raw_Data!N116</f>
        <v>13760355.367820401</v>
      </c>
      <c r="P116" s="19">
        <f t="shared" si="52"/>
        <v>66766618.252121702</v>
      </c>
      <c r="Q116" s="19">
        <f t="shared" si="53"/>
        <v>59926517.984193504</v>
      </c>
      <c r="R116" s="19">
        <f t="shared" si="54"/>
        <v>3056517.9841935039</v>
      </c>
      <c r="S116" s="20">
        <f t="shared" si="55"/>
        <v>5.374570044300165E-2</v>
      </c>
      <c r="T116" s="20">
        <f t="shared" si="56"/>
        <v>0.13</v>
      </c>
      <c r="U116" s="20">
        <f t="shared" si="57"/>
        <v>-7.6254299556998362E-2</v>
      </c>
      <c r="V116" s="21">
        <f t="shared" si="58"/>
        <v>4.7449778422801314</v>
      </c>
      <c r="W116" s="19">
        <f t="shared" si="59"/>
        <v>-12573552.180820443</v>
      </c>
      <c r="X116" s="20">
        <f>IFERROR(NPV_IRR!L116,0)</f>
        <v>1.7708040705578298E-2</v>
      </c>
      <c r="Y116" s="20">
        <f t="shared" si="60"/>
        <v>0.11</v>
      </c>
      <c r="Z116" s="17" t="str">
        <f>Raw_Data!O116</f>
        <v>On Hold</v>
      </c>
      <c r="AA116" s="17" t="str">
        <f>Raw_Data!P116</f>
        <v>Low</v>
      </c>
      <c r="AB116" s="17" t="str">
        <f t="shared" si="61"/>
        <v>Watch</v>
      </c>
      <c r="AC116" s="17" t="str">
        <f t="shared" si="62"/>
        <v>Review / Restructure</v>
      </c>
      <c r="AD116" s="20">
        <f t="shared" si="63"/>
        <v>0.84838847738408996</v>
      </c>
      <c r="AE116" s="20">
        <f t="shared" si="64"/>
        <v>1.1141701796866814</v>
      </c>
      <c r="AF116" s="19">
        <f t="shared" si="65"/>
        <v>2770000</v>
      </c>
      <c r="AG116" s="22">
        <f t="shared" si="66"/>
        <v>52.245102708858226</v>
      </c>
      <c r="AH116" s="17" t="str">
        <f t="shared" si="67"/>
        <v>Significantly Below Target</v>
      </c>
    </row>
    <row r="117" spans="1:34" ht="15" customHeight="1" x14ac:dyDescent="0.25">
      <c r="A117" s="17" t="str">
        <f>Raw_Data!A117</f>
        <v>INV-113</v>
      </c>
      <c r="B117" s="17" t="str">
        <f>Raw_Data!B117</f>
        <v>ERP Cloud Migration – West</v>
      </c>
      <c r="C117" s="17" t="str">
        <f>Raw_Data!C117</f>
        <v>Technology</v>
      </c>
      <c r="D117" s="17" t="str">
        <f>Raw_Data!D117</f>
        <v>HR</v>
      </c>
      <c r="E117" s="17" t="str">
        <f>Raw_Data!E117</f>
        <v>West</v>
      </c>
      <c r="F117" s="18">
        <f>Raw_Data!F117</f>
        <v>45951</v>
      </c>
      <c r="G117" s="18">
        <f>Raw_Data!G117</f>
        <v>46407</v>
      </c>
      <c r="H117" s="19">
        <f>Raw_Data!H117</f>
        <v>8390000</v>
      </c>
      <c r="I117" s="19">
        <f>Raw_Data!I117</f>
        <v>190000</v>
      </c>
      <c r="J117" s="19">
        <f t="shared" si="51"/>
        <v>8580000</v>
      </c>
      <c r="K117" s="19">
        <f>Raw_Data!J117</f>
        <v>8680000</v>
      </c>
      <c r="L117" s="19">
        <f>Raw_Data!K117</f>
        <v>8576039.2454489805</v>
      </c>
      <c r="M117" s="19">
        <f>Raw_Data!L117</f>
        <v>9591850.5729675703</v>
      </c>
      <c r="N117" s="19">
        <f>Raw_Data!M117</f>
        <v>1535798.2144136101</v>
      </c>
      <c r="O117" s="19">
        <f>Raw_Data!N117</f>
        <v>1183693.29901463</v>
      </c>
      <c r="P117" s="19">
        <f t="shared" si="52"/>
        <v>10111837.45986259</v>
      </c>
      <c r="Q117" s="19">
        <f t="shared" si="53"/>
        <v>10775543.8719822</v>
      </c>
      <c r="R117" s="19">
        <f t="shared" si="54"/>
        <v>2195543.8719822001</v>
      </c>
      <c r="S117" s="20">
        <f t="shared" si="55"/>
        <v>0.2558908941704196</v>
      </c>
      <c r="T117" s="20">
        <f t="shared" si="56"/>
        <v>0.2</v>
      </c>
      <c r="U117" s="20">
        <f t="shared" si="57"/>
        <v>5.5890894170419592E-2</v>
      </c>
      <c r="V117" s="21">
        <f t="shared" si="58"/>
        <v>3.9812375606901398</v>
      </c>
      <c r="W117" s="19">
        <f t="shared" si="59"/>
        <v>-811315.17659080401</v>
      </c>
      <c r="X117" s="20">
        <f>IFERROR(NPV_IRR!L117,0)</f>
        <v>8.1092707006335862E-2</v>
      </c>
      <c r="Y117" s="20">
        <f t="shared" si="60"/>
        <v>0.12</v>
      </c>
      <c r="Z117" s="17" t="str">
        <f>Raw_Data!O117</f>
        <v>Active</v>
      </c>
      <c r="AA117" s="17" t="str">
        <f>Raw_Data!P117</f>
        <v>High</v>
      </c>
      <c r="AB117" s="17" t="str">
        <f t="shared" si="61"/>
        <v>Watch</v>
      </c>
      <c r="AC117" s="17" t="str">
        <f t="shared" si="62"/>
        <v>Review / Restructure</v>
      </c>
      <c r="AD117" s="20">
        <f t="shared" si="63"/>
        <v>1.1184476071582401</v>
      </c>
      <c r="AE117" s="20">
        <f t="shared" si="64"/>
        <v>0.7707349102932648</v>
      </c>
      <c r="AF117" s="19">
        <f t="shared" si="65"/>
        <v>-100000</v>
      </c>
      <c r="AG117" s="22">
        <f t="shared" si="66"/>
        <v>63.408366846445908</v>
      </c>
      <c r="AH117" s="17" t="str">
        <f t="shared" si="67"/>
        <v>Significantly Above Target</v>
      </c>
    </row>
    <row r="118" spans="1:34" ht="15" customHeight="1" x14ac:dyDescent="0.25">
      <c r="A118" s="17" t="str">
        <f>Raw_Data!A118</f>
        <v>INV-114</v>
      </c>
      <c r="B118" s="17" t="str">
        <f>Raw_Data!B118</f>
        <v>Brand Repositioning – North</v>
      </c>
      <c r="C118" s="17" t="str">
        <f>Raw_Data!C118</f>
        <v>Marketing</v>
      </c>
      <c r="D118" s="17" t="str">
        <f>Raw_Data!D118</f>
        <v>Supply Chain</v>
      </c>
      <c r="E118" s="17" t="str">
        <f>Raw_Data!E118</f>
        <v>North</v>
      </c>
      <c r="F118" s="18">
        <f>Raw_Data!F118</f>
        <v>46073</v>
      </c>
      <c r="G118" s="18">
        <f>Raw_Data!G118</f>
        <v>46867</v>
      </c>
      <c r="H118" s="19">
        <f>Raw_Data!H118</f>
        <v>10230000</v>
      </c>
      <c r="I118" s="19">
        <f>Raw_Data!I118</f>
        <v>580000</v>
      </c>
      <c r="J118" s="19">
        <f t="shared" si="51"/>
        <v>10810000</v>
      </c>
      <c r="K118" s="19">
        <f>Raw_Data!J118</f>
        <v>11310000</v>
      </c>
      <c r="L118" s="19">
        <f>Raw_Data!K118</f>
        <v>12491465.3355972</v>
      </c>
      <c r="M118" s="19">
        <f>Raw_Data!L118</f>
        <v>13079839.3817787</v>
      </c>
      <c r="N118" s="19">
        <f>Raw_Data!M118</f>
        <v>459055.13689402002</v>
      </c>
      <c r="O118" s="19">
        <f>Raw_Data!N118</f>
        <v>363456.78946663102</v>
      </c>
      <c r="P118" s="19">
        <f t="shared" si="52"/>
        <v>12950520.47249122</v>
      </c>
      <c r="Q118" s="19">
        <f t="shared" si="53"/>
        <v>13443296.171245331</v>
      </c>
      <c r="R118" s="19">
        <f t="shared" si="54"/>
        <v>2633296.1712453309</v>
      </c>
      <c r="S118" s="20">
        <f t="shared" si="55"/>
        <v>0.2435981657026208</v>
      </c>
      <c r="T118" s="20">
        <f t="shared" si="56"/>
        <v>0.22</v>
      </c>
      <c r="U118" s="20">
        <f t="shared" si="57"/>
        <v>2.3598165702620799E-2</v>
      </c>
      <c r="V118" s="21">
        <f t="shared" si="58"/>
        <v>4.0205913275652421</v>
      </c>
      <c r="W118" s="19">
        <f t="shared" si="59"/>
        <v>-872992.35466318391</v>
      </c>
      <c r="X118" s="20">
        <f>IFERROR(NPV_IRR!L118,0)</f>
        <v>7.7365185669763248E-2</v>
      </c>
      <c r="Y118" s="20">
        <f t="shared" si="60"/>
        <v>0.11</v>
      </c>
      <c r="Z118" s="17" t="str">
        <f>Raw_Data!O118</f>
        <v>Completed</v>
      </c>
      <c r="AA118" s="17" t="str">
        <f>Raw_Data!P118</f>
        <v>Medium</v>
      </c>
      <c r="AB118" s="17" t="str">
        <f t="shared" si="61"/>
        <v>Watch</v>
      </c>
      <c r="AC118" s="17" t="str">
        <f t="shared" si="62"/>
        <v>Review / Restructure</v>
      </c>
      <c r="AD118" s="20">
        <f t="shared" si="63"/>
        <v>1.0471020837327065</v>
      </c>
      <c r="AE118" s="20">
        <f t="shared" si="64"/>
        <v>0.79174974911682694</v>
      </c>
      <c r="AF118" s="19">
        <f t="shared" si="65"/>
        <v>-500000</v>
      </c>
      <c r="AG118" s="22">
        <f t="shared" si="66"/>
        <v>61.918906734739203</v>
      </c>
      <c r="AH118" s="17" t="str">
        <f t="shared" si="67"/>
        <v>Above Target</v>
      </c>
    </row>
    <row r="119" spans="1:34" ht="15" customHeight="1" x14ac:dyDescent="0.25">
      <c r="A119" s="17" t="str">
        <f>Raw_Data!A119</f>
        <v>INV-115</v>
      </c>
      <c r="B119" s="17" t="str">
        <f>Raw_Data!B119</f>
        <v>Premium Product Line – East</v>
      </c>
      <c r="C119" s="17" t="str">
        <f>Raw_Data!C119</f>
        <v>Product Development</v>
      </c>
      <c r="D119" s="17" t="str">
        <f>Raw_Data!D119</f>
        <v>Operations</v>
      </c>
      <c r="E119" s="17" t="str">
        <f>Raw_Data!E119</f>
        <v>East</v>
      </c>
      <c r="F119" s="18">
        <f>Raw_Data!F119</f>
        <v>45543</v>
      </c>
      <c r="G119" s="18">
        <f>Raw_Data!G119</f>
        <v>46137</v>
      </c>
      <c r="H119" s="19">
        <f>Raw_Data!H119</f>
        <v>28260000</v>
      </c>
      <c r="I119" s="19">
        <f>Raw_Data!I119</f>
        <v>4900000</v>
      </c>
      <c r="J119" s="19">
        <f t="shared" si="51"/>
        <v>33160000</v>
      </c>
      <c r="K119" s="19">
        <f>Raw_Data!J119</f>
        <v>31040000</v>
      </c>
      <c r="L119" s="19">
        <f>Raw_Data!K119</f>
        <v>36824789.604644403</v>
      </c>
      <c r="M119" s="19">
        <f>Raw_Data!L119</f>
        <v>33063406.247167401</v>
      </c>
      <c r="N119" s="19">
        <f>Raw_Data!M119</f>
        <v>5043046.1020684196</v>
      </c>
      <c r="O119" s="19">
        <f>Raw_Data!N119</f>
        <v>5148182.9392943401</v>
      </c>
      <c r="P119" s="19">
        <f t="shared" si="52"/>
        <v>41867835.70671282</v>
      </c>
      <c r="Q119" s="19">
        <f t="shared" si="53"/>
        <v>38211589.186461739</v>
      </c>
      <c r="R119" s="19">
        <f t="shared" si="54"/>
        <v>5051589.1864617392</v>
      </c>
      <c r="S119" s="20">
        <f t="shared" si="55"/>
        <v>0.15233984277628887</v>
      </c>
      <c r="T119" s="20">
        <f t="shared" si="56"/>
        <v>0.24</v>
      </c>
      <c r="U119" s="20">
        <f t="shared" si="57"/>
        <v>-8.7660157223711122E-2</v>
      </c>
      <c r="V119" s="21">
        <f t="shared" si="58"/>
        <v>4.3389977629808305</v>
      </c>
      <c r="W119" s="19">
        <f t="shared" si="59"/>
        <v>-4189602.6547779925</v>
      </c>
      <c r="X119" s="20">
        <f>IFERROR(NPV_IRR!L119,0)</f>
        <v>4.9205834196559994E-2</v>
      </c>
      <c r="Y119" s="20">
        <f t="shared" si="60"/>
        <v>0.1</v>
      </c>
      <c r="Z119" s="17" t="str">
        <f>Raw_Data!O119</f>
        <v>Cancelled</v>
      </c>
      <c r="AA119" s="17" t="str">
        <f>Raw_Data!P119</f>
        <v>Low</v>
      </c>
      <c r="AB119" s="17" t="str">
        <f t="shared" si="61"/>
        <v>Underperforming</v>
      </c>
      <c r="AC119" s="17" t="str">
        <f t="shared" si="62"/>
        <v>Review / Restructure</v>
      </c>
      <c r="AD119" s="20">
        <f t="shared" si="63"/>
        <v>0.89785730216357817</v>
      </c>
      <c r="AE119" s="20">
        <f t="shared" si="64"/>
        <v>1.0208478834216483</v>
      </c>
      <c r="AF119" s="19">
        <f t="shared" si="65"/>
        <v>2120000</v>
      </c>
      <c r="AG119" s="22">
        <f t="shared" si="66"/>
        <v>51.77155878171483</v>
      </c>
      <c r="AH119" s="17" t="str">
        <f t="shared" si="67"/>
        <v>Significantly Below Target</v>
      </c>
    </row>
    <row r="120" spans="1:34" ht="15" customHeight="1" x14ac:dyDescent="0.25">
      <c r="A120" s="17" t="str">
        <f>Raw_Data!A120</f>
        <v>INV-116</v>
      </c>
      <c r="B120" s="17" t="str">
        <f>Raw_Data!B120</f>
        <v>Tier-2 City Expansion – Central</v>
      </c>
      <c r="C120" s="17" t="str">
        <f>Raw_Data!C120</f>
        <v>Expansion</v>
      </c>
      <c r="D120" s="17" t="str">
        <f>Raw_Data!D120</f>
        <v>Finance</v>
      </c>
      <c r="E120" s="17" t="str">
        <f>Raw_Data!E120</f>
        <v>Central</v>
      </c>
      <c r="F120" s="18">
        <f>Raw_Data!F120</f>
        <v>45623</v>
      </c>
      <c r="G120" s="18">
        <f>Raw_Data!G120</f>
        <v>46313</v>
      </c>
      <c r="H120" s="19">
        <f>Raw_Data!H120</f>
        <v>37240000</v>
      </c>
      <c r="I120" s="19">
        <f>Raw_Data!I120</f>
        <v>1140000</v>
      </c>
      <c r="J120" s="19">
        <f t="shared" si="51"/>
        <v>38380000</v>
      </c>
      <c r="K120" s="19">
        <f>Raw_Data!J120</f>
        <v>36910000</v>
      </c>
      <c r="L120" s="19">
        <f>Raw_Data!K120</f>
        <v>37308004.269106597</v>
      </c>
      <c r="M120" s="19">
        <f>Raw_Data!L120</f>
        <v>35990550.362787001</v>
      </c>
      <c r="N120" s="19">
        <f>Raw_Data!M120</f>
        <v>7539733.2517708195</v>
      </c>
      <c r="O120" s="19">
        <f>Raw_Data!N120</f>
        <v>7315536.7655644603</v>
      </c>
      <c r="P120" s="19">
        <f t="shared" si="52"/>
        <v>44847737.520877413</v>
      </c>
      <c r="Q120" s="19">
        <f t="shared" si="53"/>
        <v>43306087.128351465</v>
      </c>
      <c r="R120" s="19">
        <f t="shared" si="54"/>
        <v>4926087.1283514649</v>
      </c>
      <c r="S120" s="20">
        <f t="shared" si="55"/>
        <v>0.1283503681175473</v>
      </c>
      <c r="T120" s="20">
        <f t="shared" si="56"/>
        <v>0.18</v>
      </c>
      <c r="U120" s="20">
        <f t="shared" si="57"/>
        <v>-5.1649631882452696E-2</v>
      </c>
      <c r="V120" s="21">
        <f t="shared" si="58"/>
        <v>4.4312477234722891</v>
      </c>
      <c r="W120" s="19">
        <f t="shared" si="59"/>
        <v>-4690884.6980776489</v>
      </c>
      <c r="X120" s="20">
        <f>IFERROR(NPV_IRR!L120,0)</f>
        <v>4.1651163749573783E-2</v>
      </c>
      <c r="Y120" s="20">
        <f t="shared" si="60"/>
        <v>0.09</v>
      </c>
      <c r="Z120" s="17" t="str">
        <f>Raw_Data!O120</f>
        <v>On Hold</v>
      </c>
      <c r="AA120" s="17" t="str">
        <f>Raw_Data!P120</f>
        <v>High</v>
      </c>
      <c r="AB120" s="17" t="str">
        <f t="shared" si="61"/>
        <v>Watch</v>
      </c>
      <c r="AC120" s="17" t="str">
        <f t="shared" si="62"/>
        <v>Review / Restructure</v>
      </c>
      <c r="AD120" s="20">
        <f t="shared" si="63"/>
        <v>0.96468709779229511</v>
      </c>
      <c r="AE120" s="20">
        <f t="shared" si="64"/>
        <v>0.97026466604057859</v>
      </c>
      <c r="AF120" s="19">
        <f t="shared" si="65"/>
        <v>1470000</v>
      </c>
      <c r="AG120" s="22">
        <f t="shared" si="66"/>
        <v>55.50939137707347</v>
      </c>
      <c r="AH120" s="17" t="str">
        <f t="shared" si="67"/>
        <v>Significantly Below Target</v>
      </c>
    </row>
    <row r="121" spans="1:34" ht="15" customHeight="1" x14ac:dyDescent="0.25">
      <c r="A121" s="17" t="str">
        <f>Raw_Data!A121</f>
        <v>INV-117</v>
      </c>
      <c r="B121" s="17" t="str">
        <f>Raw_Data!B121</f>
        <v>Automated Packaging Line – South</v>
      </c>
      <c r="C121" s="17" t="str">
        <f>Raw_Data!C121</f>
        <v>Equipment</v>
      </c>
      <c r="D121" s="17" t="str">
        <f>Raw_Data!D121</f>
        <v>Sales</v>
      </c>
      <c r="E121" s="17" t="str">
        <f>Raw_Data!E121</f>
        <v>South</v>
      </c>
      <c r="F121" s="18">
        <f>Raw_Data!F121</f>
        <v>45859</v>
      </c>
      <c r="G121" s="18">
        <f>Raw_Data!G121</f>
        <v>46226</v>
      </c>
      <c r="H121" s="19">
        <f>Raw_Data!H121</f>
        <v>21870000</v>
      </c>
      <c r="I121" s="19">
        <f>Raw_Data!I121</f>
        <v>2780000</v>
      </c>
      <c r="J121" s="19">
        <f t="shared" si="51"/>
        <v>24650000</v>
      </c>
      <c r="K121" s="19">
        <f>Raw_Data!J121</f>
        <v>23640000</v>
      </c>
      <c r="L121" s="19">
        <f>Raw_Data!K121</f>
        <v>28457324.747899901</v>
      </c>
      <c r="M121" s="19">
        <f>Raw_Data!L121</f>
        <v>28304513.2266578</v>
      </c>
      <c r="N121" s="19">
        <f>Raw_Data!M121</f>
        <v>1161091.3812772499</v>
      </c>
      <c r="O121" s="19">
        <f>Raw_Data!N121</f>
        <v>1287167.08466897</v>
      </c>
      <c r="P121" s="19">
        <f t="shared" si="52"/>
        <v>29618416.129177149</v>
      </c>
      <c r="Q121" s="19">
        <f t="shared" si="53"/>
        <v>29591680.311326772</v>
      </c>
      <c r="R121" s="19">
        <f t="shared" si="54"/>
        <v>4941680.311326772</v>
      </c>
      <c r="S121" s="20">
        <f t="shared" si="55"/>
        <v>0.20047384630128892</v>
      </c>
      <c r="T121" s="20">
        <f t="shared" si="56"/>
        <v>0.17</v>
      </c>
      <c r="U121" s="20">
        <f t="shared" si="57"/>
        <v>3.0473846301288909E-2</v>
      </c>
      <c r="V121" s="21">
        <f t="shared" si="58"/>
        <v>4.1650220164356044</v>
      </c>
      <c r="W121" s="19">
        <f t="shared" si="59"/>
        <v>-2214849.9582516067</v>
      </c>
      <c r="X121" s="20">
        <f>IFERROR(NPV_IRR!L121,0)</f>
        <v>6.416848021952104E-2</v>
      </c>
      <c r="Y121" s="20">
        <f t="shared" si="60"/>
        <v>0.1</v>
      </c>
      <c r="Z121" s="17" t="str">
        <f>Raw_Data!O121</f>
        <v>Active</v>
      </c>
      <c r="AA121" s="17" t="str">
        <f>Raw_Data!P121</f>
        <v>Medium</v>
      </c>
      <c r="AB121" s="17" t="str">
        <f t="shared" si="61"/>
        <v>Watch</v>
      </c>
      <c r="AC121" s="17" t="str">
        <f t="shared" si="62"/>
        <v>Review / Restructure</v>
      </c>
      <c r="AD121" s="20">
        <f t="shared" si="63"/>
        <v>0.99463015154812195</v>
      </c>
      <c r="AE121" s="20">
        <f t="shared" si="64"/>
        <v>1.1085837905824703</v>
      </c>
      <c r="AF121" s="19">
        <f t="shared" si="65"/>
        <v>1010000</v>
      </c>
      <c r="AG121" s="22">
        <f t="shared" si="66"/>
        <v>62.85708536791509</v>
      </c>
      <c r="AH121" s="17" t="str">
        <f t="shared" si="67"/>
        <v>Above Target</v>
      </c>
    </row>
    <row r="122" spans="1:34" ht="15" customHeight="1" x14ac:dyDescent="0.25">
      <c r="A122" s="17" t="str">
        <f>Raw_Data!A122</f>
        <v>INV-118</v>
      </c>
      <c r="B122" s="17" t="str">
        <f>Raw_Data!B122</f>
        <v>RPA Finance Rollout – West</v>
      </c>
      <c r="C122" s="17" t="str">
        <f>Raw_Data!C122</f>
        <v>Automation</v>
      </c>
      <c r="D122" s="17" t="str">
        <f>Raw_Data!D122</f>
        <v>IT</v>
      </c>
      <c r="E122" s="17" t="str">
        <f>Raw_Data!E122</f>
        <v>West</v>
      </c>
      <c r="F122" s="18">
        <f>Raw_Data!F122</f>
        <v>45885</v>
      </c>
      <c r="G122" s="18">
        <f>Raw_Data!G122</f>
        <v>46537</v>
      </c>
      <c r="H122" s="19">
        <f>Raw_Data!H122</f>
        <v>21200000</v>
      </c>
      <c r="I122" s="19">
        <f>Raw_Data!I122</f>
        <v>2920000</v>
      </c>
      <c r="J122" s="19">
        <f t="shared" si="51"/>
        <v>24120000</v>
      </c>
      <c r="K122" s="19">
        <f>Raw_Data!J122</f>
        <v>25910000</v>
      </c>
      <c r="L122" s="19">
        <f>Raw_Data!K122</f>
        <v>26794107.732613999</v>
      </c>
      <c r="M122" s="19">
        <f>Raw_Data!L122</f>
        <v>25588935.083021998</v>
      </c>
      <c r="N122" s="19">
        <f>Raw_Data!M122</f>
        <v>3259843.82650284</v>
      </c>
      <c r="O122" s="19">
        <f>Raw_Data!N122</f>
        <v>3554850.5035760701</v>
      </c>
      <c r="P122" s="19">
        <f t="shared" si="52"/>
        <v>30053951.55911684</v>
      </c>
      <c r="Q122" s="19">
        <f t="shared" si="53"/>
        <v>29143785.586598068</v>
      </c>
      <c r="R122" s="19">
        <f t="shared" si="54"/>
        <v>5023785.5865980685</v>
      </c>
      <c r="S122" s="20">
        <f t="shared" si="55"/>
        <v>0.20828298451899124</v>
      </c>
      <c r="T122" s="20">
        <f t="shared" si="56"/>
        <v>0.25</v>
      </c>
      <c r="U122" s="20">
        <f t="shared" si="57"/>
        <v>-4.1717015481008757E-2</v>
      </c>
      <c r="V122" s="21">
        <f t="shared" si="58"/>
        <v>4.1381034609127303</v>
      </c>
      <c r="W122" s="19">
        <f t="shared" si="59"/>
        <v>-2577513.9534953497</v>
      </c>
      <c r="X122" s="20">
        <f>IFERROR(NPV_IRR!L122,0)</f>
        <v>6.6572397276029927E-2</v>
      </c>
      <c r="Y122" s="20">
        <f t="shared" si="60"/>
        <v>0.11</v>
      </c>
      <c r="Z122" s="17" t="str">
        <f>Raw_Data!O122</f>
        <v>Completed</v>
      </c>
      <c r="AA122" s="17" t="str">
        <f>Raw_Data!P122</f>
        <v>Low</v>
      </c>
      <c r="AB122" s="17" t="str">
        <f t="shared" si="61"/>
        <v>Watch</v>
      </c>
      <c r="AC122" s="17" t="str">
        <f t="shared" si="62"/>
        <v>Review / Restructure</v>
      </c>
      <c r="AD122" s="20">
        <f t="shared" si="63"/>
        <v>0.95502098216448328</v>
      </c>
      <c r="AE122" s="20">
        <f t="shared" si="64"/>
        <v>1.0904971810841972</v>
      </c>
      <c r="AF122" s="19">
        <f t="shared" si="65"/>
        <v>-1790000</v>
      </c>
      <c r="AG122" s="22">
        <f t="shared" si="66"/>
        <v>57.82402863213305</v>
      </c>
      <c r="AH122" s="17" t="str">
        <f t="shared" si="67"/>
        <v>Below Target</v>
      </c>
    </row>
    <row r="123" spans="1:34" ht="15" customHeight="1" x14ac:dyDescent="0.25">
      <c r="A123" s="17" t="str">
        <f>Raw_Data!A123</f>
        <v>INV-119</v>
      </c>
      <c r="B123" s="17" t="str">
        <f>Raw_Data!B123</f>
        <v>Leadership Development – North</v>
      </c>
      <c r="C123" s="17" t="str">
        <f>Raw_Data!C123</f>
        <v>Training</v>
      </c>
      <c r="D123" s="17" t="str">
        <f>Raw_Data!D123</f>
        <v>Product</v>
      </c>
      <c r="E123" s="17" t="str">
        <f>Raw_Data!E123</f>
        <v>North</v>
      </c>
      <c r="F123" s="18">
        <f>Raw_Data!F123</f>
        <v>45407</v>
      </c>
      <c r="G123" s="18">
        <f>Raw_Data!G123</f>
        <v>45897</v>
      </c>
      <c r="H123" s="19">
        <f>Raw_Data!H123</f>
        <v>5880000</v>
      </c>
      <c r="I123" s="19">
        <f>Raw_Data!I123</f>
        <v>330000</v>
      </c>
      <c r="J123" s="19">
        <f t="shared" si="51"/>
        <v>6210000</v>
      </c>
      <c r="K123" s="19">
        <f>Raw_Data!J123</f>
        <v>6640000</v>
      </c>
      <c r="L123" s="19">
        <f>Raw_Data!K123</f>
        <v>6424688.4194954298</v>
      </c>
      <c r="M123" s="19">
        <f>Raw_Data!L123</f>
        <v>5232410.0524279596</v>
      </c>
      <c r="N123" s="19">
        <f>Raw_Data!M123</f>
        <v>423239.35567947198</v>
      </c>
      <c r="O123" s="19">
        <f>Raw_Data!N123</f>
        <v>480844.24810572702</v>
      </c>
      <c r="P123" s="19">
        <f t="shared" si="52"/>
        <v>6847927.7751749018</v>
      </c>
      <c r="Q123" s="19">
        <f t="shared" si="53"/>
        <v>5713254.3005336868</v>
      </c>
      <c r="R123" s="19">
        <f t="shared" si="54"/>
        <v>-496745.69946631324</v>
      </c>
      <c r="S123" s="20">
        <f t="shared" si="55"/>
        <v>-7.9991255952707452E-2</v>
      </c>
      <c r="T123" s="20">
        <f t="shared" si="56"/>
        <v>0.15</v>
      </c>
      <c r="U123" s="20">
        <f t="shared" si="57"/>
        <v>-0.22999125595270745</v>
      </c>
      <c r="V123" s="21">
        <f t="shared" si="58"/>
        <v>5.4347309548429443</v>
      </c>
      <c r="W123" s="19">
        <f t="shared" si="59"/>
        <v>-2090999.3718981831</v>
      </c>
      <c r="X123" s="20">
        <f>IFERROR(NPV_IRR!L123,0)</f>
        <v>-2.7162250223241924E-2</v>
      </c>
      <c r="Y123" s="20">
        <f t="shared" si="60"/>
        <v>0.12</v>
      </c>
      <c r="Z123" s="17" t="str">
        <f>Raw_Data!O123</f>
        <v>Cancelled</v>
      </c>
      <c r="AA123" s="17" t="str">
        <f>Raw_Data!P123</f>
        <v>High</v>
      </c>
      <c r="AB123" s="17" t="str">
        <f t="shared" si="61"/>
        <v>Underperforming</v>
      </c>
      <c r="AC123" s="17" t="str">
        <f t="shared" si="62"/>
        <v>Review / Restructure</v>
      </c>
      <c r="AD123" s="20">
        <f t="shared" si="63"/>
        <v>0.81442238296731173</v>
      </c>
      <c r="AE123" s="20">
        <f t="shared" si="64"/>
        <v>1.1361047635416033</v>
      </c>
      <c r="AF123" s="19">
        <f t="shared" si="65"/>
        <v>-430000</v>
      </c>
      <c r="AG123" s="22">
        <f t="shared" si="66"/>
        <v>40.807142949136257</v>
      </c>
      <c r="AH123" s="17" t="str">
        <f t="shared" si="67"/>
        <v>Significantly Below Target</v>
      </c>
    </row>
    <row r="124" spans="1:34" ht="15" customHeight="1" x14ac:dyDescent="0.25">
      <c r="A124" s="17" t="str">
        <f>Raw_Data!A124</f>
        <v>INV-120</v>
      </c>
      <c r="B124" s="17" t="str">
        <f>Raw_Data!B124</f>
        <v>Plant Utility Upgrade – East</v>
      </c>
      <c r="C124" s="17" t="str">
        <f>Raw_Data!C124</f>
        <v>Infrastructure</v>
      </c>
      <c r="D124" s="17" t="str">
        <f>Raw_Data!D124</f>
        <v>Marketing</v>
      </c>
      <c r="E124" s="17" t="str">
        <f>Raw_Data!E124</f>
        <v>East</v>
      </c>
      <c r="F124" s="18">
        <f>Raw_Data!F124</f>
        <v>45845</v>
      </c>
      <c r="G124" s="18">
        <f>Raw_Data!G124</f>
        <v>46277</v>
      </c>
      <c r="H124" s="19">
        <f>Raw_Data!H124</f>
        <v>28750000</v>
      </c>
      <c r="I124" s="19">
        <f>Raw_Data!I124</f>
        <v>5090000</v>
      </c>
      <c r="J124" s="19">
        <f t="shared" si="51"/>
        <v>33840000</v>
      </c>
      <c r="K124" s="19">
        <f>Raw_Data!J124</f>
        <v>34070000</v>
      </c>
      <c r="L124" s="19">
        <f>Raw_Data!K124</f>
        <v>32840843.638668399</v>
      </c>
      <c r="M124" s="19">
        <f>Raw_Data!L124</f>
        <v>31079359.729180399</v>
      </c>
      <c r="N124" s="19">
        <f>Raw_Data!M124</f>
        <v>5059704.2460237602</v>
      </c>
      <c r="O124" s="19">
        <f>Raw_Data!N124</f>
        <v>4901015.8968263697</v>
      </c>
      <c r="P124" s="19">
        <f t="shared" si="52"/>
        <v>37900547.884692162</v>
      </c>
      <c r="Q124" s="19">
        <f t="shared" si="53"/>
        <v>35980375.626006767</v>
      </c>
      <c r="R124" s="19">
        <f t="shared" si="54"/>
        <v>2140375.6260067672</v>
      </c>
      <c r="S124" s="20">
        <f t="shared" si="55"/>
        <v>6.3249870744880823E-2</v>
      </c>
      <c r="T124" s="20">
        <f t="shared" si="56"/>
        <v>0.13</v>
      </c>
      <c r="U124" s="20">
        <f t="shared" si="57"/>
        <v>-6.6750129255119181E-2</v>
      </c>
      <c r="V124" s="21">
        <f t="shared" si="58"/>
        <v>4.702563468450883</v>
      </c>
      <c r="W124" s="19">
        <f t="shared" si="59"/>
        <v>-6561213.623717472</v>
      </c>
      <c r="X124" s="20">
        <f>IFERROR(NPV_IRR!L124,0)</f>
        <v>2.0797931149269866E-2</v>
      </c>
      <c r="Y124" s="20">
        <f t="shared" si="60"/>
        <v>0.1</v>
      </c>
      <c r="Z124" s="17" t="str">
        <f>Raw_Data!O124</f>
        <v>On Hold</v>
      </c>
      <c r="AA124" s="17" t="str">
        <f>Raw_Data!P124</f>
        <v>Medium</v>
      </c>
      <c r="AB124" s="17" t="str">
        <f t="shared" si="61"/>
        <v>Watch</v>
      </c>
      <c r="AC124" s="17" t="str">
        <f t="shared" si="62"/>
        <v>Review / Restructure</v>
      </c>
      <c r="AD124" s="20">
        <f t="shared" si="63"/>
        <v>0.94636301281207214</v>
      </c>
      <c r="AE124" s="20">
        <f t="shared" si="64"/>
        <v>0.96863683300815495</v>
      </c>
      <c r="AF124" s="19">
        <f t="shared" si="65"/>
        <v>-230000</v>
      </c>
      <c r="AG124" s="22">
        <f t="shared" si="66"/>
        <v>55.415380774993238</v>
      </c>
      <c r="AH124" s="17" t="str">
        <f t="shared" si="67"/>
        <v>Significantly Below Target</v>
      </c>
    </row>
    <row r="125" spans="1:34" ht="15" customHeight="1" x14ac:dyDescent="0.25">
      <c r="A125" s="17" t="str">
        <f>Raw_Data!A125</f>
        <v>INV-121</v>
      </c>
      <c r="B125" s="17" t="str">
        <f>Raw_Data!B125</f>
        <v>ERP Cloud Migration – Central</v>
      </c>
      <c r="C125" s="17" t="str">
        <f>Raw_Data!C125</f>
        <v>Technology</v>
      </c>
      <c r="D125" s="17" t="str">
        <f>Raw_Data!D125</f>
        <v>HR</v>
      </c>
      <c r="E125" s="17" t="str">
        <f>Raw_Data!E125</f>
        <v>Central</v>
      </c>
      <c r="F125" s="18">
        <f>Raw_Data!F125</f>
        <v>45759</v>
      </c>
      <c r="G125" s="18">
        <f>Raw_Data!G125</f>
        <v>46045</v>
      </c>
      <c r="H125" s="19">
        <f>Raw_Data!H125</f>
        <v>28300000</v>
      </c>
      <c r="I125" s="19">
        <f>Raw_Data!I125</f>
        <v>130000</v>
      </c>
      <c r="J125" s="19">
        <f t="shared" si="51"/>
        <v>28430000</v>
      </c>
      <c r="K125" s="19">
        <f>Raw_Data!J125</f>
        <v>30210000</v>
      </c>
      <c r="L125" s="19">
        <f>Raw_Data!K125</f>
        <v>30298356.367533602</v>
      </c>
      <c r="M125" s="19">
        <f>Raw_Data!L125</f>
        <v>27851574.485762</v>
      </c>
      <c r="N125" s="19">
        <f>Raw_Data!M125</f>
        <v>4694909.4391016103</v>
      </c>
      <c r="O125" s="19">
        <f>Raw_Data!N125</f>
        <v>4726269.8906674404</v>
      </c>
      <c r="P125" s="19">
        <f t="shared" si="52"/>
        <v>34993265.806635216</v>
      </c>
      <c r="Q125" s="19">
        <f t="shared" si="53"/>
        <v>32577844.376429439</v>
      </c>
      <c r="R125" s="19">
        <f t="shared" si="54"/>
        <v>4147844.3764294386</v>
      </c>
      <c r="S125" s="20">
        <f t="shared" si="55"/>
        <v>0.1458967420481688</v>
      </c>
      <c r="T125" s="20">
        <f t="shared" si="56"/>
        <v>0.2</v>
      </c>
      <c r="U125" s="20">
        <f t="shared" si="57"/>
        <v>-5.4103257951831213E-2</v>
      </c>
      <c r="V125" s="21">
        <f t="shared" si="58"/>
        <v>4.3633948998432706</v>
      </c>
      <c r="W125" s="19">
        <f t="shared" si="59"/>
        <v>-3730867.7123967782</v>
      </c>
      <c r="X125" s="20">
        <f>IFERROR(NPV_IRR!L125,0)</f>
        <v>4.7183352703328518E-2</v>
      </c>
      <c r="Y125" s="20">
        <f t="shared" si="60"/>
        <v>0.1</v>
      </c>
      <c r="Z125" s="17" t="str">
        <f>Raw_Data!O125</f>
        <v>Active</v>
      </c>
      <c r="AA125" s="17" t="str">
        <f>Raw_Data!P125</f>
        <v>Low</v>
      </c>
      <c r="AB125" s="17" t="str">
        <f t="shared" si="61"/>
        <v>Watch</v>
      </c>
      <c r="AC125" s="17" t="str">
        <f t="shared" si="62"/>
        <v>Review / Restructure</v>
      </c>
      <c r="AD125" s="20">
        <f t="shared" si="63"/>
        <v>0.91924374206669945</v>
      </c>
      <c r="AE125" s="20">
        <f t="shared" si="64"/>
        <v>1.0066796712423554</v>
      </c>
      <c r="AF125" s="19">
        <f t="shared" si="65"/>
        <v>-1780000</v>
      </c>
      <c r="AG125" s="22">
        <f t="shared" si="66"/>
        <v>56.830983112539613</v>
      </c>
      <c r="AH125" s="17" t="str">
        <f t="shared" si="67"/>
        <v>Significantly Below Target</v>
      </c>
    </row>
    <row r="126" spans="1:34" ht="15" customHeight="1" x14ac:dyDescent="0.25">
      <c r="A126" s="17" t="str">
        <f>Raw_Data!A126</f>
        <v>INV-122</v>
      </c>
      <c r="B126" s="17" t="str">
        <f>Raw_Data!B126</f>
        <v>Brand Repositioning – South</v>
      </c>
      <c r="C126" s="17" t="str">
        <f>Raw_Data!C126</f>
        <v>Marketing</v>
      </c>
      <c r="D126" s="17" t="str">
        <f>Raw_Data!D126</f>
        <v>Supply Chain</v>
      </c>
      <c r="E126" s="17" t="str">
        <f>Raw_Data!E126</f>
        <v>South</v>
      </c>
      <c r="F126" s="18">
        <f>Raw_Data!F126</f>
        <v>45530</v>
      </c>
      <c r="G126" s="18">
        <f>Raw_Data!G126</f>
        <v>46164</v>
      </c>
      <c r="H126" s="19">
        <f>Raw_Data!H126</f>
        <v>12650000</v>
      </c>
      <c r="I126" s="19">
        <f>Raw_Data!I126</f>
        <v>770000</v>
      </c>
      <c r="J126" s="19">
        <f t="shared" si="51"/>
        <v>13420000</v>
      </c>
      <c r="K126" s="19">
        <f>Raw_Data!J126</f>
        <v>14060000</v>
      </c>
      <c r="L126" s="19">
        <f>Raw_Data!K126</f>
        <v>13427398.223910701</v>
      </c>
      <c r="M126" s="19">
        <f>Raw_Data!L126</f>
        <v>13776703.8126694</v>
      </c>
      <c r="N126" s="19">
        <f>Raw_Data!M126</f>
        <v>2839166.8552938499</v>
      </c>
      <c r="O126" s="19">
        <f>Raw_Data!N126</f>
        <v>2626282.8360294099</v>
      </c>
      <c r="P126" s="19">
        <f t="shared" si="52"/>
        <v>16266565.07920455</v>
      </c>
      <c r="Q126" s="19">
        <f t="shared" si="53"/>
        <v>16402986.64869881</v>
      </c>
      <c r="R126" s="19">
        <f t="shared" si="54"/>
        <v>2982986.6486988105</v>
      </c>
      <c r="S126" s="20">
        <f t="shared" si="55"/>
        <v>0.2222791839566923</v>
      </c>
      <c r="T126" s="20">
        <f t="shared" si="56"/>
        <v>0.22</v>
      </c>
      <c r="U126" s="20">
        <f t="shared" si="57"/>
        <v>2.2791839566922989E-3</v>
      </c>
      <c r="V126" s="21">
        <f t="shared" si="58"/>
        <v>4.0907184427491323</v>
      </c>
      <c r="W126" s="19">
        <f t="shared" si="59"/>
        <v>-1295250.1129060164</v>
      </c>
      <c r="X126" s="20">
        <f>IFERROR(NPV_IRR!L126,0)</f>
        <v>7.0865015478487559E-2</v>
      </c>
      <c r="Y126" s="20">
        <f t="shared" si="60"/>
        <v>0.11</v>
      </c>
      <c r="Z126" s="17" t="str">
        <f>Raw_Data!O126</f>
        <v>Completed</v>
      </c>
      <c r="AA126" s="17" t="str">
        <f>Raw_Data!P126</f>
        <v>High</v>
      </c>
      <c r="AB126" s="17" t="str">
        <f t="shared" si="61"/>
        <v>Watch</v>
      </c>
      <c r="AC126" s="17" t="str">
        <f t="shared" si="62"/>
        <v>Review / Restructure</v>
      </c>
      <c r="AD126" s="20">
        <f t="shared" si="63"/>
        <v>1.0260143910930322</v>
      </c>
      <c r="AE126" s="20">
        <f t="shared" si="64"/>
        <v>0.92501884175369931</v>
      </c>
      <c r="AF126" s="19">
        <f t="shared" si="65"/>
        <v>-640000</v>
      </c>
      <c r="AG126" s="22">
        <f t="shared" si="66"/>
        <v>60.402666221354487</v>
      </c>
      <c r="AH126" s="17" t="str">
        <f t="shared" si="67"/>
        <v>On Target</v>
      </c>
    </row>
    <row r="127" spans="1:34" ht="15" customHeight="1" x14ac:dyDescent="0.25">
      <c r="A127" s="17" t="str">
        <f>Raw_Data!A127</f>
        <v>INV-123</v>
      </c>
      <c r="B127" s="17" t="str">
        <f>Raw_Data!B127</f>
        <v>Premium Product Line – West</v>
      </c>
      <c r="C127" s="17" t="str">
        <f>Raw_Data!C127</f>
        <v>Product Development</v>
      </c>
      <c r="D127" s="17" t="str">
        <f>Raw_Data!D127</f>
        <v>Operations</v>
      </c>
      <c r="E127" s="17" t="str">
        <f>Raw_Data!E127</f>
        <v>West</v>
      </c>
      <c r="F127" s="18">
        <f>Raw_Data!F127</f>
        <v>45662</v>
      </c>
      <c r="G127" s="18">
        <f>Raw_Data!G127</f>
        <v>46517</v>
      </c>
      <c r="H127" s="19">
        <f>Raw_Data!H127</f>
        <v>37670000</v>
      </c>
      <c r="I127" s="19">
        <f>Raw_Data!I127</f>
        <v>2240000</v>
      </c>
      <c r="J127" s="19">
        <f t="shared" si="51"/>
        <v>39910000</v>
      </c>
      <c r="K127" s="19">
        <f>Raw_Data!J127</f>
        <v>41420000</v>
      </c>
      <c r="L127" s="19">
        <f>Raw_Data!K127</f>
        <v>46595697.586158797</v>
      </c>
      <c r="M127" s="19">
        <f>Raw_Data!L127</f>
        <v>39805302.405710302</v>
      </c>
      <c r="N127" s="19">
        <f>Raw_Data!M127</f>
        <v>2440506.7106730202</v>
      </c>
      <c r="O127" s="19">
        <f>Raw_Data!N127</f>
        <v>1859990.417468</v>
      </c>
      <c r="P127" s="19">
        <f t="shared" si="52"/>
        <v>49036204.296831816</v>
      </c>
      <c r="Q127" s="19">
        <f t="shared" si="53"/>
        <v>41665292.823178299</v>
      </c>
      <c r="R127" s="19">
        <f t="shared" si="54"/>
        <v>1755292.8231782988</v>
      </c>
      <c r="S127" s="20">
        <f t="shared" si="55"/>
        <v>4.398127845598343E-2</v>
      </c>
      <c r="T127" s="20">
        <f t="shared" si="56"/>
        <v>0.24</v>
      </c>
      <c r="U127" s="20">
        <f t="shared" si="57"/>
        <v>-0.19601872154401656</v>
      </c>
      <c r="V127" s="21">
        <f t="shared" si="58"/>
        <v>4.7893579158764688</v>
      </c>
      <c r="W127" s="19">
        <f t="shared" si="59"/>
        <v>-9111873.7030647397</v>
      </c>
      <c r="X127" s="20">
        <f>IFERROR(NPV_IRR!L127,0)</f>
        <v>1.4520878933508952E-2</v>
      </c>
      <c r="Y127" s="20">
        <f t="shared" si="60"/>
        <v>0.11</v>
      </c>
      <c r="Z127" s="17" t="str">
        <f>Raw_Data!O127</f>
        <v>Cancelled</v>
      </c>
      <c r="AA127" s="17" t="str">
        <f>Raw_Data!P127</f>
        <v>Medium</v>
      </c>
      <c r="AB127" s="17" t="str">
        <f t="shared" si="61"/>
        <v>Underperforming</v>
      </c>
      <c r="AC127" s="17" t="str">
        <f t="shared" si="62"/>
        <v>Review / Restructure</v>
      </c>
      <c r="AD127" s="20">
        <f t="shared" si="63"/>
        <v>0.85426991048062828</v>
      </c>
      <c r="AE127" s="20">
        <f t="shared" si="64"/>
        <v>0.76213288385307043</v>
      </c>
      <c r="AF127" s="19">
        <f t="shared" si="65"/>
        <v>-1510000</v>
      </c>
      <c r="AG127" s="22">
        <f t="shared" si="66"/>
        <v>42.098251032816464</v>
      </c>
      <c r="AH127" s="17" t="str">
        <f t="shared" si="67"/>
        <v>Significantly Below Target</v>
      </c>
    </row>
    <row r="128" spans="1:34" ht="15" customHeight="1" x14ac:dyDescent="0.25">
      <c r="A128" s="17" t="str">
        <f>Raw_Data!A128</f>
        <v>INV-124</v>
      </c>
      <c r="B128" s="17" t="str">
        <f>Raw_Data!B128</f>
        <v>Tier-2 City Expansion – North</v>
      </c>
      <c r="C128" s="17" t="str">
        <f>Raw_Data!C128</f>
        <v>Expansion</v>
      </c>
      <c r="D128" s="17" t="str">
        <f>Raw_Data!D128</f>
        <v>Finance</v>
      </c>
      <c r="E128" s="17" t="str">
        <f>Raw_Data!E128</f>
        <v>North</v>
      </c>
      <c r="F128" s="18">
        <f>Raw_Data!F128</f>
        <v>45426</v>
      </c>
      <c r="G128" s="18">
        <f>Raw_Data!G128</f>
        <v>45827</v>
      </c>
      <c r="H128" s="19">
        <f>Raw_Data!H128</f>
        <v>47050000</v>
      </c>
      <c r="I128" s="19">
        <f>Raw_Data!I128</f>
        <v>7630000</v>
      </c>
      <c r="J128" s="19">
        <f t="shared" si="51"/>
        <v>54680000</v>
      </c>
      <c r="K128" s="19">
        <f>Raw_Data!J128</f>
        <v>53430000</v>
      </c>
      <c r="L128" s="19">
        <f>Raw_Data!K128</f>
        <v>54915440.3018016</v>
      </c>
      <c r="M128" s="19">
        <f>Raw_Data!L128</f>
        <v>47392510.566749297</v>
      </c>
      <c r="N128" s="19">
        <f>Raw_Data!M128</f>
        <v>11724906.4916353</v>
      </c>
      <c r="O128" s="19">
        <f>Raw_Data!N128</f>
        <v>12387820.6940658</v>
      </c>
      <c r="P128" s="19">
        <f t="shared" si="52"/>
        <v>66640346.7934369</v>
      </c>
      <c r="Q128" s="19">
        <f t="shared" si="53"/>
        <v>59780331.260815099</v>
      </c>
      <c r="R128" s="19">
        <f t="shared" si="54"/>
        <v>5100331.2608150989</v>
      </c>
      <c r="S128" s="20">
        <f t="shared" si="55"/>
        <v>9.3275992333853308E-2</v>
      </c>
      <c r="T128" s="20">
        <f t="shared" si="56"/>
        <v>0.18</v>
      </c>
      <c r="U128" s="20">
        <f t="shared" si="57"/>
        <v>-8.6724007666146685E-2</v>
      </c>
      <c r="V128" s="21">
        <f t="shared" si="58"/>
        <v>4.5734105889642107</v>
      </c>
      <c r="W128" s="19">
        <f t="shared" si="59"/>
        <v>-8175071.7975572944</v>
      </c>
      <c r="X128" s="20">
        <f>IFERROR(NPV_IRR!L128,0)</f>
        <v>3.0482052001857829E-2</v>
      </c>
      <c r="Y128" s="20">
        <f t="shared" si="60"/>
        <v>0.09</v>
      </c>
      <c r="Z128" s="17" t="str">
        <f>Raw_Data!O128</f>
        <v>On Hold</v>
      </c>
      <c r="AA128" s="17" t="str">
        <f>Raw_Data!P128</f>
        <v>Low</v>
      </c>
      <c r="AB128" s="17" t="str">
        <f t="shared" si="61"/>
        <v>Watch</v>
      </c>
      <c r="AC128" s="17" t="str">
        <f t="shared" si="62"/>
        <v>Review / Restructure</v>
      </c>
      <c r="AD128" s="20">
        <f t="shared" si="63"/>
        <v>0.86300884243651421</v>
      </c>
      <c r="AE128" s="20">
        <f t="shared" si="64"/>
        <v>1.0565389756330621</v>
      </c>
      <c r="AF128" s="19">
        <f t="shared" si="65"/>
        <v>1250000</v>
      </c>
      <c r="AG128" s="22">
        <f t="shared" si="66"/>
        <v>53.168219934443805</v>
      </c>
      <c r="AH128" s="17" t="str">
        <f t="shared" si="67"/>
        <v>Significantly Below Target</v>
      </c>
    </row>
    <row r="129" spans="1:34" ht="15" customHeight="1" x14ac:dyDescent="0.25">
      <c r="A129" s="17" t="str">
        <f>Raw_Data!A129</f>
        <v>INV-125</v>
      </c>
      <c r="B129" s="17" t="str">
        <f>Raw_Data!B129</f>
        <v>Automated Packaging Line – East</v>
      </c>
      <c r="C129" s="17" t="str">
        <f>Raw_Data!C129</f>
        <v>Equipment</v>
      </c>
      <c r="D129" s="17" t="str">
        <f>Raw_Data!D129</f>
        <v>Sales</v>
      </c>
      <c r="E129" s="17" t="str">
        <f>Raw_Data!E129</f>
        <v>East</v>
      </c>
      <c r="F129" s="18">
        <f>Raw_Data!F129</f>
        <v>45413</v>
      </c>
      <c r="G129" s="18">
        <f>Raw_Data!G129</f>
        <v>45621</v>
      </c>
      <c r="H129" s="19">
        <f>Raw_Data!H129</f>
        <v>18370000</v>
      </c>
      <c r="I129" s="19">
        <f>Raw_Data!I129</f>
        <v>1890000</v>
      </c>
      <c r="J129" s="19">
        <f t="shared" si="51"/>
        <v>20260000</v>
      </c>
      <c r="K129" s="19">
        <f>Raw_Data!J129</f>
        <v>21790000</v>
      </c>
      <c r="L129" s="19">
        <f>Raw_Data!K129</f>
        <v>19265472.394835498</v>
      </c>
      <c r="M129" s="19">
        <f>Raw_Data!L129</f>
        <v>20050051.0132595</v>
      </c>
      <c r="N129" s="19">
        <f>Raw_Data!M129</f>
        <v>4077586.95480564</v>
      </c>
      <c r="O129" s="19">
        <f>Raw_Data!N129</f>
        <v>4148066.0059971199</v>
      </c>
      <c r="P129" s="19">
        <f t="shared" si="52"/>
        <v>23343059.349641137</v>
      </c>
      <c r="Q129" s="19">
        <f t="shared" si="53"/>
        <v>24198117.019256622</v>
      </c>
      <c r="R129" s="19">
        <f t="shared" si="54"/>
        <v>3938117.0192566216</v>
      </c>
      <c r="S129" s="20">
        <f t="shared" si="55"/>
        <v>0.19437892493862891</v>
      </c>
      <c r="T129" s="20">
        <f t="shared" si="56"/>
        <v>0.17</v>
      </c>
      <c r="U129" s="20">
        <f t="shared" si="57"/>
        <v>2.4378924938628893E-2</v>
      </c>
      <c r="V129" s="21">
        <f t="shared" si="58"/>
        <v>4.18627614369277</v>
      </c>
      <c r="W129" s="19">
        <f t="shared" si="59"/>
        <v>-2814240.7254848182</v>
      </c>
      <c r="X129" s="20">
        <f>IFERROR(NPV_IRR!L129,0)</f>
        <v>6.2287782274225822E-2</v>
      </c>
      <c r="Y129" s="20">
        <f t="shared" si="60"/>
        <v>0.12</v>
      </c>
      <c r="Z129" s="17" t="str">
        <f>Raw_Data!O129</f>
        <v>Active</v>
      </c>
      <c r="AA129" s="17" t="str">
        <f>Raw_Data!P129</f>
        <v>High</v>
      </c>
      <c r="AB129" s="17" t="str">
        <f t="shared" si="61"/>
        <v>Watch</v>
      </c>
      <c r="AC129" s="17" t="str">
        <f t="shared" si="62"/>
        <v>Review / Restructure</v>
      </c>
      <c r="AD129" s="20">
        <f t="shared" si="63"/>
        <v>1.0407245979929527</v>
      </c>
      <c r="AE129" s="20">
        <f t="shared" si="64"/>
        <v>1.0172844998703012</v>
      </c>
      <c r="AF129" s="19">
        <f t="shared" si="65"/>
        <v>-1530000</v>
      </c>
      <c r="AG129" s="22">
        <f t="shared" si="66"/>
        <v>62.308767031321608</v>
      </c>
      <c r="AH129" s="17" t="str">
        <f t="shared" si="67"/>
        <v>Above Target</v>
      </c>
    </row>
    <row r="130" spans="1:34" ht="15" customHeight="1" x14ac:dyDescent="0.25">
      <c r="A130" s="17" t="str">
        <f>Raw_Data!A130</f>
        <v>INV-126</v>
      </c>
      <c r="B130" s="17" t="str">
        <f>Raw_Data!B130</f>
        <v>RPA Finance Rollout – Central</v>
      </c>
      <c r="C130" s="17" t="str">
        <f>Raw_Data!C130</f>
        <v>Automation</v>
      </c>
      <c r="D130" s="17" t="str">
        <f>Raw_Data!D130</f>
        <v>IT</v>
      </c>
      <c r="E130" s="17" t="str">
        <f>Raw_Data!E130</f>
        <v>Central</v>
      </c>
      <c r="F130" s="18">
        <f>Raw_Data!F130</f>
        <v>45556</v>
      </c>
      <c r="G130" s="18">
        <f>Raw_Data!G130</f>
        <v>46162</v>
      </c>
      <c r="H130" s="19">
        <f>Raw_Data!H130</f>
        <v>23610000</v>
      </c>
      <c r="I130" s="19">
        <f>Raw_Data!I130</f>
        <v>1410000</v>
      </c>
      <c r="J130" s="19">
        <f t="shared" si="51"/>
        <v>25020000</v>
      </c>
      <c r="K130" s="19">
        <f>Raw_Data!J130</f>
        <v>26150000</v>
      </c>
      <c r="L130" s="19">
        <f>Raw_Data!K130</f>
        <v>28499018.750545401</v>
      </c>
      <c r="M130" s="19">
        <f>Raw_Data!L130</f>
        <v>26061236.622451302</v>
      </c>
      <c r="N130" s="19">
        <f>Raw_Data!M130</f>
        <v>2336428.4145256002</v>
      </c>
      <c r="O130" s="19">
        <f>Raw_Data!N130</f>
        <v>1762559.9370957401</v>
      </c>
      <c r="P130" s="19">
        <f t="shared" si="52"/>
        <v>30835447.165071003</v>
      </c>
      <c r="Q130" s="19">
        <f t="shared" si="53"/>
        <v>27823796.559547041</v>
      </c>
      <c r="R130" s="19">
        <f t="shared" si="54"/>
        <v>2803796.5595470406</v>
      </c>
      <c r="S130" s="20">
        <f t="shared" si="55"/>
        <v>0.11206221261179219</v>
      </c>
      <c r="T130" s="20">
        <f t="shared" si="56"/>
        <v>0.25</v>
      </c>
      <c r="U130" s="20">
        <f t="shared" si="57"/>
        <v>-0.13793778738820781</v>
      </c>
      <c r="V130" s="21">
        <f t="shared" si="58"/>
        <v>4.4961513333476075</v>
      </c>
      <c r="W130" s="19">
        <f t="shared" si="59"/>
        <v>-4453222.6551769339</v>
      </c>
      <c r="X130" s="20">
        <f>IFERROR(NPV_IRR!L130,0)</f>
        <v>3.6483018227810637E-2</v>
      </c>
      <c r="Y130" s="20">
        <f t="shared" si="60"/>
        <v>0.11</v>
      </c>
      <c r="Z130" s="17" t="str">
        <f>Raw_Data!O130</f>
        <v>Completed</v>
      </c>
      <c r="AA130" s="17" t="str">
        <f>Raw_Data!P130</f>
        <v>Medium</v>
      </c>
      <c r="AB130" s="17" t="str">
        <f t="shared" si="61"/>
        <v>Underperforming</v>
      </c>
      <c r="AC130" s="17" t="str">
        <f t="shared" si="62"/>
        <v>Review / Restructure</v>
      </c>
      <c r="AD130" s="20">
        <f t="shared" si="63"/>
        <v>0.91446083988251536</v>
      </c>
      <c r="AE130" s="20">
        <f t="shared" si="64"/>
        <v>0.7543821698699974</v>
      </c>
      <c r="AF130" s="19">
        <f t="shared" si="65"/>
        <v>-1130000</v>
      </c>
      <c r="AG130" s="22">
        <f t="shared" si="66"/>
        <v>47.549147377709808</v>
      </c>
      <c r="AH130" s="17" t="str">
        <f t="shared" si="67"/>
        <v>Significantly Below Target</v>
      </c>
    </row>
    <row r="131" spans="1:34" ht="15" customHeight="1" x14ac:dyDescent="0.25">
      <c r="A131" s="17" t="str">
        <f>Raw_Data!A131</f>
        <v>INV-127</v>
      </c>
      <c r="B131" s="17" t="str">
        <f>Raw_Data!B131</f>
        <v>Leadership Development – South</v>
      </c>
      <c r="C131" s="17" t="str">
        <f>Raw_Data!C131</f>
        <v>Training</v>
      </c>
      <c r="D131" s="17" t="str">
        <f>Raw_Data!D131</f>
        <v>Product</v>
      </c>
      <c r="E131" s="17" t="str">
        <f>Raw_Data!E131</f>
        <v>South</v>
      </c>
      <c r="F131" s="18">
        <f>Raw_Data!F131</f>
        <v>45760</v>
      </c>
      <c r="G131" s="18">
        <f>Raw_Data!G131</f>
        <v>46620</v>
      </c>
      <c r="H131" s="19">
        <f>Raw_Data!H131</f>
        <v>9310000</v>
      </c>
      <c r="I131" s="19">
        <f>Raw_Data!I131</f>
        <v>950000</v>
      </c>
      <c r="J131" s="19">
        <f t="shared" si="51"/>
        <v>10260000</v>
      </c>
      <c r="K131" s="19">
        <f>Raw_Data!J131</f>
        <v>10470000</v>
      </c>
      <c r="L131" s="19">
        <f>Raw_Data!K131</f>
        <v>10909860.528484801</v>
      </c>
      <c r="M131" s="19">
        <f>Raw_Data!L131</f>
        <v>9223818.5785153601</v>
      </c>
      <c r="N131" s="19">
        <f>Raw_Data!M131</f>
        <v>884005.80426055798</v>
      </c>
      <c r="O131" s="19">
        <f>Raw_Data!N131</f>
        <v>864107.00196112902</v>
      </c>
      <c r="P131" s="19">
        <f t="shared" si="52"/>
        <v>11793866.332745358</v>
      </c>
      <c r="Q131" s="19">
        <f t="shared" si="53"/>
        <v>10087925.580476489</v>
      </c>
      <c r="R131" s="19">
        <f t="shared" si="54"/>
        <v>-172074.41952351108</v>
      </c>
      <c r="S131" s="20">
        <f t="shared" si="55"/>
        <v>-1.6771385918470865E-2</v>
      </c>
      <c r="T131" s="20">
        <f t="shared" si="56"/>
        <v>0.15</v>
      </c>
      <c r="U131" s="20">
        <f t="shared" si="57"/>
        <v>-0.16677138591847085</v>
      </c>
      <c r="V131" s="21">
        <f t="shared" si="58"/>
        <v>5.0852873160843561</v>
      </c>
      <c r="W131" s="19">
        <f t="shared" si="59"/>
        <v>-2803213.1865694402</v>
      </c>
      <c r="X131" s="20">
        <f>IFERROR(NPV_IRR!L131,0)</f>
        <v>-5.6115135284229289E-3</v>
      </c>
      <c r="Y131" s="20">
        <f t="shared" si="60"/>
        <v>0.11</v>
      </c>
      <c r="Z131" s="17" t="str">
        <f>Raw_Data!O131</f>
        <v>Cancelled</v>
      </c>
      <c r="AA131" s="17" t="str">
        <f>Raw_Data!P131</f>
        <v>Low</v>
      </c>
      <c r="AB131" s="17" t="str">
        <f t="shared" si="61"/>
        <v>Underperforming</v>
      </c>
      <c r="AC131" s="17" t="str">
        <f t="shared" si="62"/>
        <v>Review / Restructure</v>
      </c>
      <c r="AD131" s="20">
        <f t="shared" si="63"/>
        <v>0.84545705735033772</v>
      </c>
      <c r="AE131" s="20">
        <f t="shared" si="64"/>
        <v>0.97749019044498964</v>
      </c>
      <c r="AF131" s="19">
        <f t="shared" si="65"/>
        <v>-210000</v>
      </c>
      <c r="AG131" s="22">
        <f t="shared" si="66"/>
        <v>46.116226089614983</v>
      </c>
      <c r="AH131" s="17" t="str">
        <f t="shared" si="67"/>
        <v>Significantly Below Target</v>
      </c>
    </row>
    <row r="132" spans="1:34" ht="15" customHeight="1" x14ac:dyDescent="0.25">
      <c r="A132" s="17" t="str">
        <f>Raw_Data!A132</f>
        <v>INV-128</v>
      </c>
      <c r="B132" s="17" t="str">
        <f>Raw_Data!B132</f>
        <v>Plant Utility Upgrade – West</v>
      </c>
      <c r="C132" s="17" t="str">
        <f>Raw_Data!C132</f>
        <v>Infrastructure</v>
      </c>
      <c r="D132" s="17" t="str">
        <f>Raw_Data!D132</f>
        <v>Marketing</v>
      </c>
      <c r="E132" s="17" t="str">
        <f>Raw_Data!E132</f>
        <v>West</v>
      </c>
      <c r="F132" s="18">
        <f>Raw_Data!F132</f>
        <v>45830</v>
      </c>
      <c r="G132" s="18">
        <f>Raw_Data!G132</f>
        <v>46062</v>
      </c>
      <c r="H132" s="19">
        <f>Raw_Data!H132</f>
        <v>37370000</v>
      </c>
      <c r="I132" s="19">
        <f>Raw_Data!I132</f>
        <v>3790000</v>
      </c>
      <c r="J132" s="19">
        <f t="shared" si="51"/>
        <v>41160000</v>
      </c>
      <c r="K132" s="19">
        <f>Raw_Data!J132</f>
        <v>41540000</v>
      </c>
      <c r="L132" s="19">
        <f>Raw_Data!K132</f>
        <v>41940134.296837397</v>
      </c>
      <c r="M132" s="19">
        <f>Raw_Data!L132</f>
        <v>39583968.773304701</v>
      </c>
      <c r="N132" s="19">
        <f>Raw_Data!M132</f>
        <v>3290130.89633284</v>
      </c>
      <c r="O132" s="19">
        <f>Raw_Data!N132</f>
        <v>3682300.00178973</v>
      </c>
      <c r="P132" s="19">
        <f t="shared" si="52"/>
        <v>45230265.193170235</v>
      </c>
      <c r="Q132" s="19">
        <f t="shared" si="53"/>
        <v>43266268.775094435</v>
      </c>
      <c r="R132" s="19">
        <f t="shared" si="54"/>
        <v>2106268.7750944346</v>
      </c>
      <c r="S132" s="20">
        <f t="shared" si="55"/>
        <v>5.1172710765170909E-2</v>
      </c>
      <c r="T132" s="20">
        <f t="shared" si="56"/>
        <v>0.13</v>
      </c>
      <c r="U132" s="20">
        <f t="shared" si="57"/>
        <v>-7.8827289234829095E-2</v>
      </c>
      <c r="V132" s="21">
        <f t="shared" si="58"/>
        <v>4.7565922790750479</v>
      </c>
      <c r="W132" s="19">
        <f t="shared" si="59"/>
        <v>-9966956.7910553701</v>
      </c>
      <c r="X132" s="20">
        <f>IFERROR(NPV_IRR!L132,0)</f>
        <v>1.6869456481582779E-2</v>
      </c>
      <c r="Y132" s="20">
        <f t="shared" si="60"/>
        <v>0.12</v>
      </c>
      <c r="Z132" s="17" t="str">
        <f>Raw_Data!O132</f>
        <v>On Hold</v>
      </c>
      <c r="AA132" s="17" t="str">
        <f>Raw_Data!P132</f>
        <v>High</v>
      </c>
      <c r="AB132" s="17" t="str">
        <f t="shared" si="61"/>
        <v>Watch</v>
      </c>
      <c r="AC132" s="17" t="str">
        <f t="shared" si="62"/>
        <v>Review / Restructure</v>
      </c>
      <c r="AD132" s="20">
        <f t="shared" si="63"/>
        <v>0.94382074442450303</v>
      </c>
      <c r="AE132" s="20">
        <f t="shared" si="64"/>
        <v>1.1191955936750113</v>
      </c>
      <c r="AF132" s="19">
        <f t="shared" si="65"/>
        <v>-380000</v>
      </c>
      <c r="AG132" s="22">
        <f t="shared" si="66"/>
        <v>53.269185155645907</v>
      </c>
      <c r="AH132" s="17" t="str">
        <f t="shared" si="67"/>
        <v>Significantly Below Target</v>
      </c>
    </row>
    <row r="133" spans="1:34" ht="15" customHeight="1" x14ac:dyDescent="0.25">
      <c r="A133" s="17" t="str">
        <f>Raw_Data!A133</f>
        <v>INV-129</v>
      </c>
      <c r="B133" s="17" t="str">
        <f>Raw_Data!B133</f>
        <v>ERP Cloud Migration – North</v>
      </c>
      <c r="C133" s="17" t="str">
        <f>Raw_Data!C133</f>
        <v>Technology</v>
      </c>
      <c r="D133" s="17" t="str">
        <f>Raw_Data!D133</f>
        <v>HR</v>
      </c>
      <c r="E133" s="17" t="str">
        <f>Raw_Data!E133</f>
        <v>North</v>
      </c>
      <c r="F133" s="18">
        <f>Raw_Data!F133</f>
        <v>45904</v>
      </c>
      <c r="G133" s="18">
        <f>Raw_Data!G133</f>
        <v>46780</v>
      </c>
      <c r="H133" s="19">
        <f>Raw_Data!H133</f>
        <v>11320000</v>
      </c>
      <c r="I133" s="19">
        <f>Raw_Data!I133</f>
        <v>930000</v>
      </c>
      <c r="J133" s="19">
        <f t="shared" ref="J133:J164" si="68">H133+I133</f>
        <v>12250000</v>
      </c>
      <c r="K133" s="19">
        <f>Raw_Data!J133</f>
        <v>12980000</v>
      </c>
      <c r="L133" s="19">
        <f>Raw_Data!K133</f>
        <v>13387229.742738299</v>
      </c>
      <c r="M133" s="19">
        <f>Raw_Data!L133</f>
        <v>14302406.587965401</v>
      </c>
      <c r="N133" s="19">
        <f>Raw_Data!M133</f>
        <v>1224759.0926862999</v>
      </c>
      <c r="O133" s="19">
        <f>Raw_Data!N133</f>
        <v>925270.47445141198</v>
      </c>
      <c r="P133" s="19">
        <f t="shared" ref="P133:P154" si="69">L133+N133</f>
        <v>14611988.835424598</v>
      </c>
      <c r="Q133" s="19">
        <f t="shared" ref="Q133:Q154" si="70">M133+O133</f>
        <v>15227677.062416812</v>
      </c>
      <c r="R133" s="19">
        <f t="shared" ref="R133:R164" si="71">Q133-J133</f>
        <v>2977677.0624168124</v>
      </c>
      <c r="S133" s="20">
        <f t="shared" ref="S133:S164" si="72">IFERROR(R133/J133,0)</f>
        <v>0.24307567856463774</v>
      </c>
      <c r="T133" s="20">
        <f t="shared" ref="T133:T154" si="73">IF(C133="Technology",0.2,IF(C133="Marketing",0.22,IF(C133="Product Development",0.24,IF(C133="Expansion",0.18,IF(C133="Equipment",0.17,IF(C133="Automation",0.25,IF(C133="Training",0.15,0.13)))))))</f>
        <v>0.2</v>
      </c>
      <c r="U133" s="20">
        <f t="shared" ref="U133:U164" si="74">S133-T133</f>
        <v>4.3075678564637732E-2</v>
      </c>
      <c r="V133" s="21">
        <f t="shared" ref="V133:V154" si="75">IFERROR(J133/(Q133/5),0)</f>
        <v>4.0222812546484947</v>
      </c>
      <c r="W133" s="19">
        <f t="shared" ref="W133:W154" si="76">NPV(Y133,Q133/5,Q133/5,Q133/5,Q133/5,Q133/5)-J133</f>
        <v>-994014.75185691006</v>
      </c>
      <c r="X133" s="20">
        <f>IFERROR(NPV_IRR!L133,0)</f>
        <v>7.7206422640301975E-2</v>
      </c>
      <c r="Y133" s="20">
        <f t="shared" ref="Y133:Y154" si="77">IF(D133="Finance",0.09,IF(G133-F133&gt;600,0.11,IF(AA133="High",0.12,0.1)))</f>
        <v>0.11</v>
      </c>
      <c r="Z133" s="17" t="str">
        <f>Raw_Data!O133</f>
        <v>Active</v>
      </c>
      <c r="AA133" s="17" t="str">
        <f>Raw_Data!P133</f>
        <v>Medium</v>
      </c>
      <c r="AB133" s="17" t="str">
        <f t="shared" ref="AB133:AB154" si="78">IF(AG133&gt;=82,"Excellent",IF(AG133&gt;=68,"Good",IF(AG133&gt;=52,"Watch",IF(AG133&gt;=35,"Underperforming","Critical"))))</f>
        <v>Watch</v>
      </c>
      <c r="AC133" s="17" t="str">
        <f t="shared" ref="AC133:AC154" si="79">IF(AND(AG133&gt;=68,W133&gt;0,AA133&lt;&gt;"High"),"Increase / Scale",IF(OR(AG133&lt;35,W133&lt;0),"Review / Restructure",IF(AND(AA133="High",U133&gt;0),"Monitor Closely","Continue")))</f>
        <v>Review / Restructure</v>
      </c>
      <c r="AD133" s="20">
        <f t="shared" ref="AD133:AD154" si="80">IFERROR(M133/L133,0)</f>
        <v>1.0683619287047439</v>
      </c>
      <c r="AE133" s="20">
        <f t="shared" ref="AE133:AE154" si="81">IFERROR(O133/N133,0)</f>
        <v>0.75547140656207679</v>
      </c>
      <c r="AF133" s="19">
        <f t="shared" ref="AF133:AF154" si="82">J133-K133</f>
        <v>-730000</v>
      </c>
      <c r="AG133" s="22">
        <f t="shared" ref="AG133:AG164" si="83">MAX(0,MIN(100,(MIN(100,MAX(0,50+U133*250))*22%)+(MIN(100,MAX(0,50+(W133/J133)*100))*18%)+(MIN(100,MAX(0,50+(X133-T133)*180))*15%)+(MIN(100,MAX(0,100-V133*12))*10%)+(MIN(100,MAX(0,100-MAX(0,AF133/K133)*250))*12%)+(MIN(100,MAX(0,AD133*100))*12%)+(MIN(100,MAX(0,AE133*100))*6%)+(IF(AA133="Low",100,IF(AA133="Medium",90,78))*5%)))</f>
        <v>63.299233561368155</v>
      </c>
      <c r="AH133" s="17" t="str">
        <f t="shared" ref="AH133:AH154" si="84">IF(U133&gt;=5%,"Significantly Above Target",IF(U133&gt;=1.5%,"Above Target",IF(U133&gt;=-1.5%,"On Target",IF(U133&gt;=-5%,"Below Target","Significantly Below Target"))))</f>
        <v>Above Target</v>
      </c>
    </row>
    <row r="134" spans="1:34" ht="15" customHeight="1" x14ac:dyDescent="0.25">
      <c r="A134" s="17" t="str">
        <f>Raw_Data!A134</f>
        <v>INV-130</v>
      </c>
      <c r="B134" s="17" t="str">
        <f>Raw_Data!B134</f>
        <v>Brand Repositioning – East</v>
      </c>
      <c r="C134" s="17" t="str">
        <f>Raw_Data!C134</f>
        <v>Marketing</v>
      </c>
      <c r="D134" s="17" t="str">
        <f>Raw_Data!D134</f>
        <v>Supply Chain</v>
      </c>
      <c r="E134" s="17" t="str">
        <f>Raw_Data!E134</f>
        <v>East</v>
      </c>
      <c r="F134" s="18">
        <f>Raw_Data!F134</f>
        <v>45630</v>
      </c>
      <c r="G134" s="18">
        <f>Raw_Data!G134</f>
        <v>46115</v>
      </c>
      <c r="H134" s="19">
        <f>Raw_Data!H134</f>
        <v>14310000</v>
      </c>
      <c r="I134" s="19">
        <f>Raw_Data!I134</f>
        <v>2410000</v>
      </c>
      <c r="J134" s="19">
        <f t="shared" si="68"/>
        <v>16720000</v>
      </c>
      <c r="K134" s="19">
        <f>Raw_Data!J134</f>
        <v>15910000</v>
      </c>
      <c r="L134" s="19">
        <f>Raw_Data!K134</f>
        <v>17689070.295152701</v>
      </c>
      <c r="M134" s="19">
        <f>Raw_Data!L134</f>
        <v>19325806.087461099</v>
      </c>
      <c r="N134" s="19">
        <f>Raw_Data!M134</f>
        <v>2824941.8620233499</v>
      </c>
      <c r="O134" s="19">
        <f>Raw_Data!N134</f>
        <v>2188750.10924344</v>
      </c>
      <c r="P134" s="19">
        <f t="shared" si="69"/>
        <v>20514012.157176051</v>
      </c>
      <c r="Q134" s="19">
        <f t="shared" si="70"/>
        <v>21514556.19670454</v>
      </c>
      <c r="R134" s="19">
        <f t="shared" si="71"/>
        <v>4794556.1967045404</v>
      </c>
      <c r="S134" s="20">
        <f t="shared" si="72"/>
        <v>0.2867557533914199</v>
      </c>
      <c r="T134" s="20">
        <f t="shared" si="73"/>
        <v>0.22</v>
      </c>
      <c r="U134" s="20">
        <f t="shared" si="74"/>
        <v>6.6755753391419898E-2</v>
      </c>
      <c r="V134" s="21">
        <f t="shared" si="75"/>
        <v>3.8857413202325461</v>
      </c>
      <c r="W134" s="19">
        <f t="shared" si="76"/>
        <v>-408581.00396758318</v>
      </c>
      <c r="X134" s="20">
        <f>IFERROR(NPV_IRR!L134,0)</f>
        <v>9.0387727258110395E-2</v>
      </c>
      <c r="Y134" s="20">
        <f t="shared" si="77"/>
        <v>0.1</v>
      </c>
      <c r="Z134" s="17" t="str">
        <f>Raw_Data!O134</f>
        <v>Completed</v>
      </c>
      <c r="AA134" s="17" t="str">
        <f>Raw_Data!P134</f>
        <v>Low</v>
      </c>
      <c r="AB134" s="17" t="str">
        <f t="shared" si="78"/>
        <v>Watch</v>
      </c>
      <c r="AC134" s="17" t="str">
        <f t="shared" si="79"/>
        <v>Review / Restructure</v>
      </c>
      <c r="AD134" s="20">
        <f t="shared" si="80"/>
        <v>1.0925280845741741</v>
      </c>
      <c r="AE134" s="20">
        <f t="shared" si="81"/>
        <v>0.77479474486450461</v>
      </c>
      <c r="AF134" s="19">
        <f t="shared" si="82"/>
        <v>810000</v>
      </c>
      <c r="AG134" s="22">
        <f t="shared" si="83"/>
        <v>64.690712730120907</v>
      </c>
      <c r="AH134" s="17" t="str">
        <f t="shared" si="84"/>
        <v>Significantly Above Target</v>
      </c>
    </row>
    <row r="135" spans="1:34" ht="15" customHeight="1" x14ac:dyDescent="0.25">
      <c r="A135" s="17" t="str">
        <f>Raw_Data!A135</f>
        <v>INV-131</v>
      </c>
      <c r="B135" s="17" t="str">
        <f>Raw_Data!B135</f>
        <v>Premium Product Line – Central</v>
      </c>
      <c r="C135" s="17" t="str">
        <f>Raw_Data!C135</f>
        <v>Product Development</v>
      </c>
      <c r="D135" s="17" t="str">
        <f>Raw_Data!D135</f>
        <v>Operations</v>
      </c>
      <c r="E135" s="17" t="str">
        <f>Raw_Data!E135</f>
        <v>Central</v>
      </c>
      <c r="F135" s="18">
        <f>Raw_Data!F135</f>
        <v>45840</v>
      </c>
      <c r="G135" s="18">
        <f>Raw_Data!G135</f>
        <v>46456</v>
      </c>
      <c r="H135" s="19">
        <f>Raw_Data!H135</f>
        <v>31420000</v>
      </c>
      <c r="I135" s="19">
        <f>Raw_Data!I135</f>
        <v>1480000</v>
      </c>
      <c r="J135" s="19">
        <f t="shared" si="68"/>
        <v>32900000</v>
      </c>
      <c r="K135" s="19">
        <f>Raw_Data!J135</f>
        <v>31770000</v>
      </c>
      <c r="L135" s="19">
        <f>Raw_Data!K135</f>
        <v>36311508.9942635</v>
      </c>
      <c r="M135" s="19">
        <f>Raw_Data!L135</f>
        <v>30459400.338000201</v>
      </c>
      <c r="N135" s="19">
        <f>Raw_Data!M135</f>
        <v>3391805.3421647898</v>
      </c>
      <c r="O135" s="19">
        <f>Raw_Data!N135</f>
        <v>2895969.79245095</v>
      </c>
      <c r="P135" s="19">
        <f t="shared" si="69"/>
        <v>39703314.336428292</v>
      </c>
      <c r="Q135" s="19">
        <f t="shared" si="70"/>
        <v>33355370.13045115</v>
      </c>
      <c r="R135" s="19">
        <f t="shared" si="71"/>
        <v>455370.13045115024</v>
      </c>
      <c r="S135" s="20">
        <f t="shared" si="72"/>
        <v>1.3841037399731011E-2</v>
      </c>
      <c r="T135" s="20">
        <f t="shared" si="73"/>
        <v>0.24</v>
      </c>
      <c r="U135" s="20">
        <f t="shared" si="74"/>
        <v>-0.22615896260026899</v>
      </c>
      <c r="V135" s="21">
        <f t="shared" si="75"/>
        <v>4.931739607644853</v>
      </c>
      <c r="W135" s="19">
        <f t="shared" si="76"/>
        <v>-8244397.4024543129</v>
      </c>
      <c r="X135" s="20">
        <f>IFERROR(NPV_IRR!L135,0)</f>
        <v>4.5996073410998761E-3</v>
      </c>
      <c r="Y135" s="20">
        <f t="shared" si="77"/>
        <v>0.11</v>
      </c>
      <c r="Z135" s="17" t="str">
        <f>Raw_Data!O135</f>
        <v>Cancelled</v>
      </c>
      <c r="AA135" s="17" t="str">
        <f>Raw_Data!P135</f>
        <v>High</v>
      </c>
      <c r="AB135" s="17" t="str">
        <f t="shared" si="78"/>
        <v>Underperforming</v>
      </c>
      <c r="AC135" s="17" t="str">
        <f t="shared" si="79"/>
        <v>Review / Restructure</v>
      </c>
      <c r="AD135" s="20">
        <f t="shared" si="80"/>
        <v>0.83883598290592065</v>
      </c>
      <c r="AE135" s="20">
        <f t="shared" si="81"/>
        <v>0.85381367746847847</v>
      </c>
      <c r="AF135" s="19">
        <f t="shared" si="82"/>
        <v>1130000</v>
      </c>
      <c r="AG135" s="22">
        <f t="shared" si="83"/>
        <v>39.737358786612518</v>
      </c>
      <c r="AH135" s="17" t="str">
        <f t="shared" si="84"/>
        <v>Significantly Below Target</v>
      </c>
    </row>
    <row r="136" spans="1:34" ht="15" customHeight="1" x14ac:dyDescent="0.25">
      <c r="A136" s="17" t="str">
        <f>Raw_Data!A136</f>
        <v>INV-132</v>
      </c>
      <c r="B136" s="17" t="str">
        <f>Raw_Data!B136</f>
        <v>Tier-2 City Expansion – South</v>
      </c>
      <c r="C136" s="17" t="str">
        <f>Raw_Data!C136</f>
        <v>Expansion</v>
      </c>
      <c r="D136" s="17" t="str">
        <f>Raw_Data!D136</f>
        <v>Finance</v>
      </c>
      <c r="E136" s="17" t="str">
        <f>Raw_Data!E136</f>
        <v>South</v>
      </c>
      <c r="F136" s="18">
        <f>Raw_Data!F136</f>
        <v>45965</v>
      </c>
      <c r="G136" s="18">
        <f>Raw_Data!G136</f>
        <v>46272</v>
      </c>
      <c r="H136" s="19">
        <f>Raw_Data!H136</f>
        <v>26540000</v>
      </c>
      <c r="I136" s="19">
        <f>Raw_Data!I136</f>
        <v>1310000</v>
      </c>
      <c r="J136" s="19">
        <f t="shared" si="68"/>
        <v>27850000</v>
      </c>
      <c r="K136" s="19">
        <f>Raw_Data!J136</f>
        <v>28950000</v>
      </c>
      <c r="L136" s="19">
        <f>Raw_Data!K136</f>
        <v>27325599.460081398</v>
      </c>
      <c r="M136" s="19">
        <f>Raw_Data!L136</f>
        <v>28476868.254400201</v>
      </c>
      <c r="N136" s="19">
        <f>Raw_Data!M136</f>
        <v>5177331.1849734699</v>
      </c>
      <c r="O136" s="19">
        <f>Raw_Data!N136</f>
        <v>3972273.5239592199</v>
      </c>
      <c r="P136" s="19">
        <f t="shared" si="69"/>
        <v>32502930.645054869</v>
      </c>
      <c r="Q136" s="19">
        <f t="shared" si="70"/>
        <v>32449141.778359421</v>
      </c>
      <c r="R136" s="19">
        <f t="shared" si="71"/>
        <v>4599141.7783594206</v>
      </c>
      <c r="S136" s="20">
        <f t="shared" si="72"/>
        <v>0.16513974069513179</v>
      </c>
      <c r="T136" s="20">
        <f t="shared" si="73"/>
        <v>0.18</v>
      </c>
      <c r="U136" s="20">
        <f t="shared" si="74"/>
        <v>-1.4860259304868201E-2</v>
      </c>
      <c r="V136" s="21">
        <f t="shared" si="75"/>
        <v>4.2913307523241455</v>
      </c>
      <c r="W136" s="19">
        <f t="shared" si="76"/>
        <v>-2606830.9374250621</v>
      </c>
      <c r="X136" s="20">
        <f>IFERROR(NPV_IRR!L136,0)</f>
        <v>5.3209707200904788E-2</v>
      </c>
      <c r="Y136" s="20">
        <f t="shared" si="77"/>
        <v>0.09</v>
      </c>
      <c r="Z136" s="17" t="str">
        <f>Raw_Data!O136</f>
        <v>On Hold</v>
      </c>
      <c r="AA136" s="17" t="str">
        <f>Raw_Data!P136</f>
        <v>Medium</v>
      </c>
      <c r="AB136" s="17" t="str">
        <f t="shared" si="78"/>
        <v>Watch</v>
      </c>
      <c r="AC136" s="17" t="str">
        <f t="shared" si="79"/>
        <v>Review / Restructure</v>
      </c>
      <c r="AD136" s="20">
        <f t="shared" si="80"/>
        <v>1.0421315110031029</v>
      </c>
      <c r="AE136" s="20">
        <f t="shared" si="81"/>
        <v>0.76724346618741079</v>
      </c>
      <c r="AF136" s="19">
        <f t="shared" si="82"/>
        <v>-1100000</v>
      </c>
      <c r="AG136" s="22">
        <f t="shared" si="83"/>
        <v>59.528365878746165</v>
      </c>
      <c r="AH136" s="17" t="str">
        <f t="shared" si="84"/>
        <v>On Target</v>
      </c>
    </row>
    <row r="137" spans="1:34" ht="15" customHeight="1" x14ac:dyDescent="0.25">
      <c r="A137" s="17" t="str">
        <f>Raw_Data!A137</f>
        <v>INV-133</v>
      </c>
      <c r="B137" s="17" t="str">
        <f>Raw_Data!B137</f>
        <v>Automated Packaging Line – West</v>
      </c>
      <c r="C137" s="17" t="str">
        <f>Raw_Data!C137</f>
        <v>Equipment</v>
      </c>
      <c r="D137" s="17" t="str">
        <f>Raw_Data!D137</f>
        <v>Sales</v>
      </c>
      <c r="E137" s="17" t="str">
        <f>Raw_Data!E137</f>
        <v>West</v>
      </c>
      <c r="F137" s="18">
        <f>Raw_Data!F137</f>
        <v>45976</v>
      </c>
      <c r="G137" s="18">
        <f>Raw_Data!G137</f>
        <v>46209</v>
      </c>
      <c r="H137" s="19">
        <f>Raw_Data!H137</f>
        <v>18250000</v>
      </c>
      <c r="I137" s="19">
        <f>Raw_Data!I137</f>
        <v>30000</v>
      </c>
      <c r="J137" s="19">
        <f t="shared" si="68"/>
        <v>18280000</v>
      </c>
      <c r="K137" s="19">
        <f>Raw_Data!J137</f>
        <v>17780000</v>
      </c>
      <c r="L137" s="19">
        <f>Raw_Data!K137</f>
        <v>18928682.007707201</v>
      </c>
      <c r="M137" s="19">
        <f>Raw_Data!L137</f>
        <v>18604475.737803899</v>
      </c>
      <c r="N137" s="19">
        <f>Raw_Data!M137</f>
        <v>3048103.72633004</v>
      </c>
      <c r="O137" s="19">
        <f>Raw_Data!N137</f>
        <v>3029838.2062826501</v>
      </c>
      <c r="P137" s="19">
        <f t="shared" si="69"/>
        <v>21976785.734037243</v>
      </c>
      <c r="Q137" s="19">
        <f t="shared" si="70"/>
        <v>21634313.944086548</v>
      </c>
      <c r="R137" s="19">
        <f t="shared" si="71"/>
        <v>3354313.9440865479</v>
      </c>
      <c r="S137" s="20">
        <f t="shared" si="72"/>
        <v>0.18349638643799496</v>
      </c>
      <c r="T137" s="20">
        <f t="shared" si="73"/>
        <v>0.17</v>
      </c>
      <c r="U137" s="20">
        <f t="shared" si="74"/>
        <v>1.3496386437994945E-2</v>
      </c>
      <c r="V137" s="21">
        <f t="shared" si="75"/>
        <v>4.2247699758920696</v>
      </c>
      <c r="W137" s="19">
        <f t="shared" si="76"/>
        <v>-1877785.787105605</v>
      </c>
      <c r="X137" s="20">
        <f>IFERROR(NPV_IRR!L137,0)</f>
        <v>5.8919896332005006E-2</v>
      </c>
      <c r="Y137" s="20">
        <f t="shared" si="77"/>
        <v>0.1</v>
      </c>
      <c r="Z137" s="17" t="str">
        <f>Raw_Data!O137</f>
        <v>Active</v>
      </c>
      <c r="AA137" s="17" t="str">
        <f>Raw_Data!P137</f>
        <v>Low</v>
      </c>
      <c r="AB137" s="17" t="str">
        <f t="shared" si="78"/>
        <v>Watch</v>
      </c>
      <c r="AC137" s="17" t="str">
        <f t="shared" si="79"/>
        <v>Review / Restructure</v>
      </c>
      <c r="AD137" s="20">
        <f t="shared" si="80"/>
        <v>0.98287222164906696</v>
      </c>
      <c r="AE137" s="20">
        <f t="shared" si="81"/>
        <v>0.99400757924029648</v>
      </c>
      <c r="AF137" s="19">
        <f t="shared" si="82"/>
        <v>500000</v>
      </c>
      <c r="AG137" s="22">
        <f t="shared" si="83"/>
        <v>62.239258870848694</v>
      </c>
      <c r="AH137" s="17" t="str">
        <f t="shared" si="84"/>
        <v>On Target</v>
      </c>
    </row>
    <row r="138" spans="1:34" ht="15" customHeight="1" x14ac:dyDescent="0.25">
      <c r="A138" s="17" t="str">
        <f>Raw_Data!A138</f>
        <v>INV-134</v>
      </c>
      <c r="B138" s="17" t="str">
        <f>Raw_Data!B138</f>
        <v>RPA Finance Rollout – North</v>
      </c>
      <c r="C138" s="17" t="str">
        <f>Raw_Data!C138</f>
        <v>Automation</v>
      </c>
      <c r="D138" s="17" t="str">
        <f>Raw_Data!D138</f>
        <v>IT</v>
      </c>
      <c r="E138" s="17" t="str">
        <f>Raw_Data!E138</f>
        <v>North</v>
      </c>
      <c r="F138" s="18">
        <f>Raw_Data!F138</f>
        <v>45792</v>
      </c>
      <c r="G138" s="18">
        <f>Raw_Data!G138</f>
        <v>46284</v>
      </c>
      <c r="H138" s="19">
        <f>Raw_Data!H138</f>
        <v>12240000</v>
      </c>
      <c r="I138" s="19">
        <f>Raw_Data!I138</f>
        <v>290000</v>
      </c>
      <c r="J138" s="19">
        <f t="shared" si="68"/>
        <v>12530000</v>
      </c>
      <c r="K138" s="19">
        <f>Raw_Data!J138</f>
        <v>11670000</v>
      </c>
      <c r="L138" s="19">
        <f>Raw_Data!K138</f>
        <v>13619399.176724199</v>
      </c>
      <c r="M138" s="19">
        <f>Raw_Data!L138</f>
        <v>13008593.024655201</v>
      </c>
      <c r="N138" s="19">
        <f>Raw_Data!M138</f>
        <v>1758971.4943262199</v>
      </c>
      <c r="O138" s="19">
        <f>Raw_Data!N138</f>
        <v>1782868.20371094</v>
      </c>
      <c r="P138" s="19">
        <f t="shared" si="69"/>
        <v>15378370.671050418</v>
      </c>
      <c r="Q138" s="19">
        <f t="shared" si="70"/>
        <v>14791461.22836614</v>
      </c>
      <c r="R138" s="19">
        <f t="shared" si="71"/>
        <v>2261461.2283661403</v>
      </c>
      <c r="S138" s="20">
        <f t="shared" si="72"/>
        <v>0.18048373729977177</v>
      </c>
      <c r="T138" s="20">
        <f t="shared" si="73"/>
        <v>0.25</v>
      </c>
      <c r="U138" s="20">
        <f t="shared" si="74"/>
        <v>-6.9516262700228232E-2</v>
      </c>
      <c r="V138" s="21">
        <f t="shared" si="75"/>
        <v>4.2355517844209833</v>
      </c>
      <c r="W138" s="19">
        <f t="shared" si="76"/>
        <v>-1866018.5132153854</v>
      </c>
      <c r="X138" s="20">
        <f>IFERROR(NPV_IRR!L138,0)</f>
        <v>5.7985290778736376E-2</v>
      </c>
      <c r="Y138" s="20">
        <f t="shared" si="77"/>
        <v>0.12</v>
      </c>
      <c r="Z138" s="17" t="str">
        <f>Raw_Data!O138</f>
        <v>Completed</v>
      </c>
      <c r="AA138" s="17" t="str">
        <f>Raw_Data!P138</f>
        <v>High</v>
      </c>
      <c r="AB138" s="17" t="str">
        <f t="shared" si="78"/>
        <v>Underperforming</v>
      </c>
      <c r="AC138" s="17" t="str">
        <f t="shared" si="79"/>
        <v>Review / Restructure</v>
      </c>
      <c r="AD138" s="20">
        <f t="shared" si="80"/>
        <v>0.95515175492375037</v>
      </c>
      <c r="AE138" s="20">
        <f t="shared" si="81"/>
        <v>1.0135856149242906</v>
      </c>
      <c r="AF138" s="19">
        <f t="shared" si="82"/>
        <v>860000</v>
      </c>
      <c r="AG138" s="22">
        <f t="shared" si="83"/>
        <v>51.879937265630687</v>
      </c>
      <c r="AH138" s="17" t="str">
        <f t="shared" si="84"/>
        <v>Significantly Below Target</v>
      </c>
    </row>
    <row r="139" spans="1:34" ht="15" customHeight="1" x14ac:dyDescent="0.25">
      <c r="A139" s="17" t="str">
        <f>Raw_Data!A139</f>
        <v>INV-135</v>
      </c>
      <c r="B139" s="17" t="str">
        <f>Raw_Data!B139</f>
        <v>Leadership Development – East</v>
      </c>
      <c r="C139" s="17" t="str">
        <f>Raw_Data!C139</f>
        <v>Training</v>
      </c>
      <c r="D139" s="17" t="str">
        <f>Raw_Data!D139</f>
        <v>Product</v>
      </c>
      <c r="E139" s="17" t="str">
        <f>Raw_Data!E139</f>
        <v>East</v>
      </c>
      <c r="F139" s="18">
        <f>Raw_Data!F139</f>
        <v>45931</v>
      </c>
      <c r="G139" s="18">
        <f>Raw_Data!G139</f>
        <v>46661</v>
      </c>
      <c r="H139" s="19">
        <f>Raw_Data!H139</f>
        <v>2970000</v>
      </c>
      <c r="I139" s="19">
        <f>Raw_Data!I139</f>
        <v>330000</v>
      </c>
      <c r="J139" s="19">
        <f t="shared" si="68"/>
        <v>3300000</v>
      </c>
      <c r="K139" s="19">
        <f>Raw_Data!J139</f>
        <v>3190000</v>
      </c>
      <c r="L139" s="19">
        <f>Raw_Data!K139</f>
        <v>3323038.0211710501</v>
      </c>
      <c r="M139" s="19">
        <f>Raw_Data!L139</f>
        <v>2664504.42510253</v>
      </c>
      <c r="N139" s="19">
        <f>Raw_Data!M139</f>
        <v>436017.48989667202</v>
      </c>
      <c r="O139" s="19">
        <f>Raw_Data!N139</f>
        <v>491606.37549624703</v>
      </c>
      <c r="P139" s="19">
        <f t="shared" si="69"/>
        <v>3759055.511067722</v>
      </c>
      <c r="Q139" s="19">
        <f t="shared" si="70"/>
        <v>3156110.8005987769</v>
      </c>
      <c r="R139" s="19">
        <f t="shared" si="71"/>
        <v>-143889.1994012231</v>
      </c>
      <c r="S139" s="20">
        <f t="shared" si="72"/>
        <v>-4.3602787697340335E-2</v>
      </c>
      <c r="T139" s="20">
        <f t="shared" si="73"/>
        <v>0.15</v>
      </c>
      <c r="U139" s="20">
        <f t="shared" si="74"/>
        <v>-0.19360278769734032</v>
      </c>
      <c r="V139" s="21">
        <f t="shared" si="75"/>
        <v>5.2279533395562732</v>
      </c>
      <c r="W139" s="19">
        <f t="shared" si="76"/>
        <v>-967067.9009391428</v>
      </c>
      <c r="X139" s="20">
        <f>IFERROR(NPV_IRR!L139,0)</f>
        <v>-1.4678961529182466E-2</v>
      </c>
      <c r="Y139" s="20">
        <f t="shared" si="77"/>
        <v>0.11</v>
      </c>
      <c r="Z139" s="17" t="str">
        <f>Raw_Data!O139</f>
        <v>Cancelled</v>
      </c>
      <c r="AA139" s="17" t="str">
        <f>Raw_Data!P139</f>
        <v>Medium</v>
      </c>
      <c r="AB139" s="17" t="str">
        <f t="shared" si="78"/>
        <v>Underperforming</v>
      </c>
      <c r="AC139" s="17" t="str">
        <f t="shared" si="79"/>
        <v>Review / Restructure</v>
      </c>
      <c r="AD139" s="20">
        <f t="shared" si="80"/>
        <v>0.80182784792921191</v>
      </c>
      <c r="AE139" s="20">
        <f t="shared" si="81"/>
        <v>1.1274923297520669</v>
      </c>
      <c r="AF139" s="19">
        <f t="shared" si="82"/>
        <v>110000</v>
      </c>
      <c r="AG139" s="22">
        <f t="shared" si="83"/>
        <v>41.944506301116263</v>
      </c>
      <c r="AH139" s="17" t="str">
        <f t="shared" si="84"/>
        <v>Significantly Below Target</v>
      </c>
    </row>
    <row r="140" spans="1:34" ht="15" customHeight="1" x14ac:dyDescent="0.25">
      <c r="A140" s="17" t="str">
        <f>Raw_Data!A140</f>
        <v>INV-136</v>
      </c>
      <c r="B140" s="17" t="str">
        <f>Raw_Data!B140</f>
        <v>Plant Utility Upgrade – Central</v>
      </c>
      <c r="C140" s="17" t="str">
        <f>Raw_Data!C140</f>
        <v>Infrastructure</v>
      </c>
      <c r="D140" s="17" t="str">
        <f>Raw_Data!D140</f>
        <v>Marketing</v>
      </c>
      <c r="E140" s="17" t="str">
        <f>Raw_Data!E140</f>
        <v>Central</v>
      </c>
      <c r="F140" s="18">
        <f>Raw_Data!F140</f>
        <v>45474</v>
      </c>
      <c r="G140" s="18">
        <f>Raw_Data!G140</f>
        <v>45996</v>
      </c>
      <c r="H140" s="19">
        <f>Raw_Data!H140</f>
        <v>38760000</v>
      </c>
      <c r="I140" s="19">
        <f>Raw_Data!I140</f>
        <v>1820000</v>
      </c>
      <c r="J140" s="19">
        <f t="shared" si="68"/>
        <v>40580000</v>
      </c>
      <c r="K140" s="19">
        <f>Raw_Data!J140</f>
        <v>40710000</v>
      </c>
      <c r="L140" s="19">
        <f>Raw_Data!K140</f>
        <v>40670553.616675898</v>
      </c>
      <c r="M140" s="19">
        <f>Raw_Data!L140</f>
        <v>36647451.111504503</v>
      </c>
      <c r="N140" s="19">
        <f>Raw_Data!M140</f>
        <v>6024712.9973756503</v>
      </c>
      <c r="O140" s="19">
        <f>Raw_Data!N140</f>
        <v>6530329.8327691397</v>
      </c>
      <c r="P140" s="19">
        <f t="shared" si="69"/>
        <v>46695266.614051551</v>
      </c>
      <c r="Q140" s="19">
        <f t="shared" si="70"/>
        <v>43177780.944273643</v>
      </c>
      <c r="R140" s="19">
        <f t="shared" si="71"/>
        <v>2597780.9442736432</v>
      </c>
      <c r="S140" s="20">
        <f t="shared" si="72"/>
        <v>6.401628743897593E-2</v>
      </c>
      <c r="T140" s="20">
        <f t="shared" si="73"/>
        <v>0.13</v>
      </c>
      <c r="U140" s="20">
        <f t="shared" si="74"/>
        <v>-6.5983712561024074E-2</v>
      </c>
      <c r="V140" s="21">
        <f t="shared" si="75"/>
        <v>4.699176186517505</v>
      </c>
      <c r="W140" s="19">
        <f t="shared" si="76"/>
        <v>-7844447.8528062627</v>
      </c>
      <c r="X140" s="20">
        <f>IFERROR(NPV_IRR!L140,0)</f>
        <v>2.1046576474892831E-2</v>
      </c>
      <c r="Y140" s="20">
        <f t="shared" si="77"/>
        <v>0.1</v>
      </c>
      <c r="Z140" s="17" t="str">
        <f>Raw_Data!O140</f>
        <v>On Hold</v>
      </c>
      <c r="AA140" s="17" t="str">
        <f>Raw_Data!P140</f>
        <v>Low</v>
      </c>
      <c r="AB140" s="17" t="str">
        <f t="shared" si="78"/>
        <v>Watch</v>
      </c>
      <c r="AC140" s="17" t="str">
        <f t="shared" si="79"/>
        <v>Review / Restructure</v>
      </c>
      <c r="AD140" s="20">
        <f t="shared" si="80"/>
        <v>0.90108070465207957</v>
      </c>
      <c r="AE140" s="20">
        <f t="shared" si="81"/>
        <v>1.0839238044391053</v>
      </c>
      <c r="AF140" s="19">
        <f t="shared" si="82"/>
        <v>-130000</v>
      </c>
      <c r="AG140" s="22">
        <f t="shared" si="83"/>
        <v>55.623562319461286</v>
      </c>
      <c r="AH140" s="17" t="str">
        <f t="shared" si="84"/>
        <v>Significantly Below Target</v>
      </c>
    </row>
    <row r="141" spans="1:34" ht="15" customHeight="1" x14ac:dyDescent="0.25">
      <c r="A141" s="17" t="str">
        <f>Raw_Data!A141</f>
        <v>INV-137</v>
      </c>
      <c r="B141" s="17" t="str">
        <f>Raw_Data!B141</f>
        <v>ERP Cloud Migration – South</v>
      </c>
      <c r="C141" s="17" t="str">
        <f>Raw_Data!C141</f>
        <v>Technology</v>
      </c>
      <c r="D141" s="17" t="str">
        <f>Raw_Data!D141</f>
        <v>HR</v>
      </c>
      <c r="E141" s="17" t="str">
        <f>Raw_Data!E141</f>
        <v>South</v>
      </c>
      <c r="F141" s="18">
        <f>Raw_Data!F141</f>
        <v>45515</v>
      </c>
      <c r="G141" s="18">
        <f>Raw_Data!G141</f>
        <v>45963</v>
      </c>
      <c r="H141" s="19">
        <f>Raw_Data!H141</f>
        <v>10210000</v>
      </c>
      <c r="I141" s="19">
        <f>Raw_Data!I141</f>
        <v>1290000</v>
      </c>
      <c r="J141" s="19">
        <f t="shared" si="68"/>
        <v>11500000</v>
      </c>
      <c r="K141" s="19">
        <f>Raw_Data!J141</f>
        <v>10880000</v>
      </c>
      <c r="L141" s="19">
        <f>Raw_Data!K141</f>
        <v>12692581.4653234</v>
      </c>
      <c r="M141" s="19">
        <f>Raw_Data!L141</f>
        <v>14407899.025592901</v>
      </c>
      <c r="N141" s="19">
        <f>Raw_Data!M141</f>
        <v>649393.58394665399</v>
      </c>
      <c r="O141" s="19">
        <f>Raw_Data!N141</f>
        <v>499305.14821200701</v>
      </c>
      <c r="P141" s="19">
        <f t="shared" si="69"/>
        <v>13341975.049270054</v>
      </c>
      <c r="Q141" s="19">
        <f t="shared" si="70"/>
        <v>14907204.173804907</v>
      </c>
      <c r="R141" s="19">
        <f t="shared" si="71"/>
        <v>3407204.1738049071</v>
      </c>
      <c r="S141" s="20">
        <f t="shared" si="72"/>
        <v>0.29627862380912234</v>
      </c>
      <c r="T141" s="20">
        <f t="shared" si="73"/>
        <v>0.2</v>
      </c>
      <c r="U141" s="20">
        <f t="shared" si="74"/>
        <v>9.6278623809122332E-2</v>
      </c>
      <c r="V141" s="21">
        <f t="shared" si="75"/>
        <v>3.8571954425256743</v>
      </c>
      <c r="W141" s="19">
        <f t="shared" si="76"/>
        <v>-752573.03015398979</v>
      </c>
      <c r="X141" s="20">
        <f>IFERROR(NPV_IRR!L141,0)</f>
        <v>9.3237519594656426E-2</v>
      </c>
      <c r="Y141" s="20">
        <f t="shared" si="77"/>
        <v>0.12</v>
      </c>
      <c r="Z141" s="17" t="str">
        <f>Raw_Data!O141</f>
        <v>Active</v>
      </c>
      <c r="AA141" s="17" t="str">
        <f>Raw_Data!P141</f>
        <v>High</v>
      </c>
      <c r="AB141" s="17" t="str">
        <f t="shared" si="78"/>
        <v>Watch</v>
      </c>
      <c r="AC141" s="17" t="str">
        <f t="shared" si="79"/>
        <v>Review / Restructure</v>
      </c>
      <c r="AD141" s="20">
        <f t="shared" si="80"/>
        <v>1.1351433169805381</v>
      </c>
      <c r="AE141" s="20">
        <f t="shared" si="81"/>
        <v>0.76887909051627412</v>
      </c>
      <c r="AF141" s="19">
        <f t="shared" si="82"/>
        <v>620000</v>
      </c>
      <c r="AG141" s="22">
        <f t="shared" si="83"/>
        <v>64.909878132071242</v>
      </c>
      <c r="AH141" s="17" t="str">
        <f t="shared" si="84"/>
        <v>Significantly Above Target</v>
      </c>
    </row>
    <row r="142" spans="1:34" ht="15" customHeight="1" x14ac:dyDescent="0.25">
      <c r="A142" s="17" t="str">
        <f>Raw_Data!A142</f>
        <v>INV-138</v>
      </c>
      <c r="B142" s="17" t="str">
        <f>Raw_Data!B142</f>
        <v>Brand Repositioning – West</v>
      </c>
      <c r="C142" s="17" t="str">
        <f>Raw_Data!C142</f>
        <v>Marketing</v>
      </c>
      <c r="D142" s="17" t="str">
        <f>Raw_Data!D142</f>
        <v>Supply Chain</v>
      </c>
      <c r="E142" s="17" t="str">
        <f>Raw_Data!E142</f>
        <v>West</v>
      </c>
      <c r="F142" s="18">
        <f>Raw_Data!F142</f>
        <v>45730</v>
      </c>
      <c r="G142" s="18">
        <f>Raw_Data!G142</f>
        <v>46405</v>
      </c>
      <c r="H142" s="19">
        <f>Raw_Data!H142</f>
        <v>13420000</v>
      </c>
      <c r="I142" s="19">
        <f>Raw_Data!I142</f>
        <v>2150000</v>
      </c>
      <c r="J142" s="19">
        <f t="shared" si="68"/>
        <v>15570000</v>
      </c>
      <c r="K142" s="19">
        <f>Raw_Data!J142</f>
        <v>15050000</v>
      </c>
      <c r="L142" s="19">
        <f>Raw_Data!K142</f>
        <v>15605295.997718301</v>
      </c>
      <c r="M142" s="19">
        <f>Raw_Data!L142</f>
        <v>15521027.052964499</v>
      </c>
      <c r="N142" s="19">
        <f>Raw_Data!M142</f>
        <v>3045756.2937459</v>
      </c>
      <c r="O142" s="19">
        <f>Raw_Data!N142</f>
        <v>2510039.7124542999</v>
      </c>
      <c r="P142" s="19">
        <f t="shared" si="69"/>
        <v>18651052.291464202</v>
      </c>
      <c r="Q142" s="19">
        <f t="shared" si="70"/>
        <v>18031066.765418798</v>
      </c>
      <c r="R142" s="19">
        <f t="shared" si="71"/>
        <v>2461066.7654187977</v>
      </c>
      <c r="S142" s="20">
        <f t="shared" si="72"/>
        <v>0.15806466059208721</v>
      </c>
      <c r="T142" s="20">
        <f t="shared" si="73"/>
        <v>0.22</v>
      </c>
      <c r="U142" s="20">
        <f t="shared" si="74"/>
        <v>-6.1935339407912793E-2</v>
      </c>
      <c r="V142" s="21">
        <f t="shared" si="75"/>
        <v>4.3175482079244478</v>
      </c>
      <c r="W142" s="19">
        <f t="shared" si="76"/>
        <v>-2241806.8233300578</v>
      </c>
      <c r="X142" s="20">
        <f>IFERROR(NPV_IRR!L142,0)</f>
        <v>5.0998873366667752E-2</v>
      </c>
      <c r="Y142" s="20">
        <f t="shared" si="77"/>
        <v>0.11</v>
      </c>
      <c r="Z142" s="17" t="str">
        <f>Raw_Data!O142</f>
        <v>Completed</v>
      </c>
      <c r="AA142" s="17" t="str">
        <f>Raw_Data!P142</f>
        <v>Medium</v>
      </c>
      <c r="AB142" s="17" t="str">
        <f t="shared" si="78"/>
        <v>Watch</v>
      </c>
      <c r="AC142" s="17" t="str">
        <f t="shared" si="79"/>
        <v>Review / Restructure</v>
      </c>
      <c r="AD142" s="20">
        <f t="shared" si="80"/>
        <v>0.99459997780457843</v>
      </c>
      <c r="AE142" s="20">
        <f t="shared" si="81"/>
        <v>0.8241104902609474</v>
      </c>
      <c r="AF142" s="19">
        <f t="shared" si="82"/>
        <v>520000</v>
      </c>
      <c r="AG142" s="22">
        <f t="shared" si="83"/>
        <v>54.101101699856898</v>
      </c>
      <c r="AH142" s="17" t="str">
        <f t="shared" si="84"/>
        <v>Significantly Below Target</v>
      </c>
    </row>
    <row r="143" spans="1:34" ht="15" customHeight="1" x14ac:dyDescent="0.25">
      <c r="A143" s="17" t="str">
        <f>Raw_Data!A143</f>
        <v>INV-139</v>
      </c>
      <c r="B143" s="17" t="str">
        <f>Raw_Data!B143</f>
        <v>Premium Product Line – North</v>
      </c>
      <c r="C143" s="17" t="str">
        <f>Raw_Data!C143</f>
        <v>Product Development</v>
      </c>
      <c r="D143" s="17" t="str">
        <f>Raw_Data!D143</f>
        <v>Operations</v>
      </c>
      <c r="E143" s="17" t="str">
        <f>Raw_Data!E143</f>
        <v>North</v>
      </c>
      <c r="F143" s="18">
        <f>Raw_Data!F143</f>
        <v>45862</v>
      </c>
      <c r="G143" s="18">
        <f>Raw_Data!G143</f>
        <v>46403</v>
      </c>
      <c r="H143" s="19">
        <f>Raw_Data!H143</f>
        <v>15430000</v>
      </c>
      <c r="I143" s="19">
        <f>Raw_Data!I143</f>
        <v>1210000</v>
      </c>
      <c r="J143" s="19">
        <f t="shared" si="68"/>
        <v>16640000</v>
      </c>
      <c r="K143" s="19">
        <f>Raw_Data!J143</f>
        <v>17140000</v>
      </c>
      <c r="L143" s="19">
        <f>Raw_Data!K143</f>
        <v>18435164.1972881</v>
      </c>
      <c r="M143" s="19">
        <f>Raw_Data!L143</f>
        <v>15366483.732969699</v>
      </c>
      <c r="N143" s="19">
        <f>Raw_Data!M143</f>
        <v>2330059.7150875898</v>
      </c>
      <c r="O143" s="19">
        <f>Raw_Data!N143</f>
        <v>2408603.7871345901</v>
      </c>
      <c r="P143" s="19">
        <f t="shared" si="69"/>
        <v>20765223.912375689</v>
      </c>
      <c r="Q143" s="19">
        <f t="shared" si="70"/>
        <v>17775087.520104289</v>
      </c>
      <c r="R143" s="19">
        <f t="shared" si="71"/>
        <v>1135087.5201042891</v>
      </c>
      <c r="S143" s="20">
        <f t="shared" si="72"/>
        <v>6.8214394237036596E-2</v>
      </c>
      <c r="T143" s="20">
        <f t="shared" si="73"/>
        <v>0.24</v>
      </c>
      <c r="U143" s="20">
        <f t="shared" si="74"/>
        <v>-0.17178560576296339</v>
      </c>
      <c r="V143" s="21">
        <f t="shared" si="75"/>
        <v>4.6807083175201072</v>
      </c>
      <c r="W143" s="19">
        <f t="shared" si="76"/>
        <v>-3163686.6807422917</v>
      </c>
      <c r="X143" s="20">
        <f>IFERROR(NPV_IRR!L143,0)</f>
        <v>2.2407175795362999E-2</v>
      </c>
      <c r="Y143" s="20">
        <f t="shared" si="77"/>
        <v>0.1</v>
      </c>
      <c r="Z143" s="17" t="str">
        <f>Raw_Data!O143</f>
        <v>Cancelled</v>
      </c>
      <c r="AA143" s="17" t="str">
        <f>Raw_Data!P143</f>
        <v>Low</v>
      </c>
      <c r="AB143" s="17" t="str">
        <f t="shared" si="78"/>
        <v>Underperforming</v>
      </c>
      <c r="AC143" s="17" t="str">
        <f t="shared" si="79"/>
        <v>Review / Restructure</v>
      </c>
      <c r="AD143" s="20">
        <f t="shared" si="80"/>
        <v>0.83354200529606248</v>
      </c>
      <c r="AE143" s="20">
        <f t="shared" si="81"/>
        <v>1.0337090382441325</v>
      </c>
      <c r="AF143" s="19">
        <f t="shared" si="82"/>
        <v>-500000</v>
      </c>
      <c r="AG143" s="22">
        <f t="shared" si="83"/>
        <v>46.140182285275941</v>
      </c>
      <c r="AH143" s="17" t="str">
        <f t="shared" si="84"/>
        <v>Significantly Below Target</v>
      </c>
    </row>
    <row r="144" spans="1:34" ht="15" customHeight="1" x14ac:dyDescent="0.25">
      <c r="A144" s="17" t="str">
        <f>Raw_Data!A144</f>
        <v>INV-140</v>
      </c>
      <c r="B144" s="17" t="str">
        <f>Raw_Data!B144</f>
        <v>Tier-2 City Expansion – East</v>
      </c>
      <c r="C144" s="17" t="str">
        <f>Raw_Data!C144</f>
        <v>Expansion</v>
      </c>
      <c r="D144" s="17" t="str">
        <f>Raw_Data!D144</f>
        <v>Finance</v>
      </c>
      <c r="E144" s="17" t="str">
        <f>Raw_Data!E144</f>
        <v>East</v>
      </c>
      <c r="F144" s="18">
        <f>Raw_Data!F144</f>
        <v>45526</v>
      </c>
      <c r="G144" s="18">
        <f>Raw_Data!G144</f>
        <v>45865</v>
      </c>
      <c r="H144" s="19">
        <f>Raw_Data!H144</f>
        <v>58670000</v>
      </c>
      <c r="I144" s="19">
        <f>Raw_Data!I144</f>
        <v>6440000</v>
      </c>
      <c r="J144" s="19">
        <f t="shared" si="68"/>
        <v>65110000</v>
      </c>
      <c r="K144" s="19">
        <f>Raw_Data!J144</f>
        <v>63100000</v>
      </c>
      <c r="L144" s="19">
        <f>Raw_Data!K144</f>
        <v>71484899.799355596</v>
      </c>
      <c r="M144" s="19">
        <f>Raw_Data!L144</f>
        <v>64316408.2976835</v>
      </c>
      <c r="N144" s="19">
        <f>Raw_Data!M144</f>
        <v>3278770.36495353</v>
      </c>
      <c r="O144" s="19">
        <f>Raw_Data!N144</f>
        <v>3650757.2027698401</v>
      </c>
      <c r="P144" s="19">
        <f t="shared" si="69"/>
        <v>74763670.164309129</v>
      </c>
      <c r="Q144" s="19">
        <f t="shared" si="70"/>
        <v>67967165.500453338</v>
      </c>
      <c r="R144" s="19">
        <f t="shared" si="71"/>
        <v>2857165.500453338</v>
      </c>
      <c r="S144" s="20">
        <f t="shared" si="72"/>
        <v>4.3882130248093044E-2</v>
      </c>
      <c r="T144" s="20">
        <f t="shared" si="73"/>
        <v>0.18</v>
      </c>
      <c r="U144" s="20">
        <f t="shared" si="74"/>
        <v>-0.13611786975190696</v>
      </c>
      <c r="V144" s="21">
        <f t="shared" si="75"/>
        <v>4.7898128103904609</v>
      </c>
      <c r="W144" s="19">
        <f t="shared" si="76"/>
        <v>-12236285.768945299</v>
      </c>
      <c r="X144" s="20">
        <f>IFERROR(NPV_IRR!L144,0)</f>
        <v>1.448844984777975E-2</v>
      </c>
      <c r="Y144" s="20">
        <f t="shared" si="77"/>
        <v>0.09</v>
      </c>
      <c r="Z144" s="17" t="str">
        <f>Raw_Data!O144</f>
        <v>On Hold</v>
      </c>
      <c r="AA144" s="17" t="str">
        <f>Raw_Data!P144</f>
        <v>High</v>
      </c>
      <c r="AB144" s="17" t="str">
        <f t="shared" si="78"/>
        <v>Underperforming</v>
      </c>
      <c r="AC144" s="17" t="str">
        <f t="shared" si="79"/>
        <v>Review / Restructure</v>
      </c>
      <c r="AD144" s="20">
        <f t="shared" si="80"/>
        <v>0.89972019934569847</v>
      </c>
      <c r="AE144" s="20">
        <f t="shared" si="81"/>
        <v>1.1134531535945436</v>
      </c>
      <c r="AF144" s="19">
        <f t="shared" si="82"/>
        <v>2010000</v>
      </c>
      <c r="AG144" s="22">
        <f t="shared" si="83"/>
        <v>48.155161146878903</v>
      </c>
      <c r="AH144" s="17" t="str">
        <f t="shared" si="84"/>
        <v>Significantly Below Target</v>
      </c>
    </row>
    <row r="145" spans="1:34" ht="15" customHeight="1" x14ac:dyDescent="0.25">
      <c r="A145" s="17" t="str">
        <f>Raw_Data!A145</f>
        <v>INV-141</v>
      </c>
      <c r="B145" s="17" t="str">
        <f>Raw_Data!B145</f>
        <v>Automated Packaging Line – Central</v>
      </c>
      <c r="C145" s="17" t="str">
        <f>Raw_Data!C145</f>
        <v>Equipment</v>
      </c>
      <c r="D145" s="17" t="str">
        <f>Raw_Data!D145</f>
        <v>Sales</v>
      </c>
      <c r="E145" s="17" t="str">
        <f>Raw_Data!E145</f>
        <v>Central</v>
      </c>
      <c r="F145" s="18">
        <f>Raw_Data!F145</f>
        <v>45438</v>
      </c>
      <c r="G145" s="18">
        <f>Raw_Data!G145</f>
        <v>45932</v>
      </c>
      <c r="H145" s="19">
        <f>Raw_Data!H145</f>
        <v>17330000</v>
      </c>
      <c r="I145" s="19">
        <f>Raw_Data!I145</f>
        <v>0</v>
      </c>
      <c r="J145" s="19">
        <f t="shared" si="68"/>
        <v>17330000</v>
      </c>
      <c r="K145" s="19">
        <f>Raw_Data!J145</f>
        <v>18200000</v>
      </c>
      <c r="L145" s="19">
        <f>Raw_Data!K145</f>
        <v>17577485.7690241</v>
      </c>
      <c r="M145" s="19">
        <f>Raw_Data!L145</f>
        <v>16045708.086346401</v>
      </c>
      <c r="N145" s="19">
        <f>Raw_Data!M145</f>
        <v>2108751.0768038598</v>
      </c>
      <c r="O145" s="19">
        <f>Raw_Data!N145</f>
        <v>2043885.1431119801</v>
      </c>
      <c r="P145" s="19">
        <f t="shared" si="69"/>
        <v>19686236.845827959</v>
      </c>
      <c r="Q145" s="19">
        <f t="shared" si="70"/>
        <v>18089593.22945838</v>
      </c>
      <c r="R145" s="19">
        <f t="shared" si="71"/>
        <v>759593.22945838049</v>
      </c>
      <c r="S145" s="20">
        <f t="shared" si="72"/>
        <v>4.3831115375555715E-2</v>
      </c>
      <c r="T145" s="20">
        <f t="shared" si="73"/>
        <v>0.17</v>
      </c>
      <c r="U145" s="20">
        <f t="shared" si="74"/>
        <v>-0.12616888462444431</v>
      </c>
      <c r="V145" s="21">
        <f t="shared" si="75"/>
        <v>4.7900469016015776</v>
      </c>
      <c r="W145" s="19">
        <f t="shared" si="76"/>
        <v>-3615241.864357708</v>
      </c>
      <c r="X145" s="20">
        <f>IFERROR(NPV_IRR!L145,0)</f>
        <v>1.4471763538431937E-2</v>
      </c>
      <c r="Y145" s="20">
        <f t="shared" si="77"/>
        <v>0.1</v>
      </c>
      <c r="Z145" s="17" t="str">
        <f>Raw_Data!O145</f>
        <v>Active</v>
      </c>
      <c r="AA145" s="17" t="str">
        <f>Raw_Data!P145</f>
        <v>Medium</v>
      </c>
      <c r="AB145" s="17" t="str">
        <f t="shared" si="78"/>
        <v>Underperforming</v>
      </c>
      <c r="AC145" s="17" t="str">
        <f t="shared" si="79"/>
        <v>Review / Restructure</v>
      </c>
      <c r="AD145" s="20">
        <f t="shared" si="80"/>
        <v>0.91285570059302379</v>
      </c>
      <c r="AE145" s="20">
        <f t="shared" si="81"/>
        <v>0.96923964406923069</v>
      </c>
      <c r="AF145" s="19">
        <f t="shared" si="82"/>
        <v>-870000</v>
      </c>
      <c r="AG145" s="22">
        <f t="shared" si="83"/>
        <v>50.128087204788073</v>
      </c>
      <c r="AH145" s="17" t="str">
        <f t="shared" si="84"/>
        <v>Significantly Below Target</v>
      </c>
    </row>
    <row r="146" spans="1:34" ht="15" customHeight="1" x14ac:dyDescent="0.25">
      <c r="A146" s="17" t="str">
        <f>Raw_Data!A146</f>
        <v>INV-142</v>
      </c>
      <c r="B146" s="17" t="str">
        <f>Raw_Data!B146</f>
        <v>RPA Finance Rollout – South</v>
      </c>
      <c r="C146" s="17" t="str">
        <f>Raw_Data!C146</f>
        <v>Automation</v>
      </c>
      <c r="D146" s="17" t="str">
        <f>Raw_Data!D146</f>
        <v>IT</v>
      </c>
      <c r="E146" s="17" t="str">
        <f>Raw_Data!E146</f>
        <v>South</v>
      </c>
      <c r="F146" s="18">
        <f>Raw_Data!F146</f>
        <v>45846</v>
      </c>
      <c r="G146" s="18">
        <f>Raw_Data!G146</f>
        <v>46084</v>
      </c>
      <c r="H146" s="19">
        <f>Raw_Data!H146</f>
        <v>20830000</v>
      </c>
      <c r="I146" s="19">
        <f>Raw_Data!I146</f>
        <v>1230000</v>
      </c>
      <c r="J146" s="19">
        <f t="shared" si="68"/>
        <v>22060000</v>
      </c>
      <c r="K146" s="19">
        <f>Raw_Data!J146</f>
        <v>21070000</v>
      </c>
      <c r="L146" s="19">
        <f>Raw_Data!K146</f>
        <v>26400389.362494301</v>
      </c>
      <c r="M146" s="19">
        <f>Raw_Data!L146</f>
        <v>23748595.573328</v>
      </c>
      <c r="N146" s="19">
        <f>Raw_Data!M146</f>
        <v>1303851.76285237</v>
      </c>
      <c r="O146" s="19">
        <f>Raw_Data!N146</f>
        <v>1413806.7828007899</v>
      </c>
      <c r="P146" s="19">
        <f t="shared" si="69"/>
        <v>27704241.125346672</v>
      </c>
      <c r="Q146" s="19">
        <f t="shared" si="70"/>
        <v>25162402.356128789</v>
      </c>
      <c r="R146" s="19">
        <f t="shared" si="71"/>
        <v>3102402.3561287895</v>
      </c>
      <c r="S146" s="20">
        <f t="shared" si="72"/>
        <v>0.14063473962505846</v>
      </c>
      <c r="T146" s="20">
        <f t="shared" si="73"/>
        <v>0.25</v>
      </c>
      <c r="U146" s="20">
        <f t="shared" si="74"/>
        <v>-0.10936526037494154</v>
      </c>
      <c r="V146" s="21">
        <f t="shared" si="75"/>
        <v>4.3835242135826631</v>
      </c>
      <c r="W146" s="19">
        <f t="shared" si="76"/>
        <v>-2982939.6123710088</v>
      </c>
      <c r="X146" s="20">
        <f>IFERROR(NPV_IRR!L146,0)</f>
        <v>4.5528069457679399E-2</v>
      </c>
      <c r="Y146" s="20">
        <f t="shared" si="77"/>
        <v>0.1</v>
      </c>
      <c r="Z146" s="17" t="str">
        <f>Raw_Data!O146</f>
        <v>Completed</v>
      </c>
      <c r="AA146" s="17" t="str">
        <f>Raw_Data!P146</f>
        <v>Low</v>
      </c>
      <c r="AB146" s="17" t="str">
        <f t="shared" si="78"/>
        <v>Underperforming</v>
      </c>
      <c r="AC146" s="17" t="str">
        <f t="shared" si="79"/>
        <v>Review / Restructure</v>
      </c>
      <c r="AD146" s="20">
        <f t="shared" si="80"/>
        <v>0.89955474698666482</v>
      </c>
      <c r="AE146" s="20">
        <f t="shared" si="81"/>
        <v>1.0843309209536802</v>
      </c>
      <c r="AF146" s="19">
        <f t="shared" si="82"/>
        <v>990000</v>
      </c>
      <c r="AG146" s="22">
        <f t="shared" si="83"/>
        <v>50.655060458540078</v>
      </c>
      <c r="AH146" s="17" t="str">
        <f t="shared" si="84"/>
        <v>Significantly Below Target</v>
      </c>
    </row>
    <row r="147" spans="1:34" ht="15" customHeight="1" x14ac:dyDescent="0.25">
      <c r="A147" s="17" t="str">
        <f>Raw_Data!A147</f>
        <v>INV-143</v>
      </c>
      <c r="B147" s="17" t="str">
        <f>Raw_Data!B147</f>
        <v>Leadership Development – West</v>
      </c>
      <c r="C147" s="17" t="str">
        <f>Raw_Data!C147</f>
        <v>Training</v>
      </c>
      <c r="D147" s="17" t="str">
        <f>Raw_Data!D147</f>
        <v>Product</v>
      </c>
      <c r="E147" s="17" t="str">
        <f>Raw_Data!E147</f>
        <v>West</v>
      </c>
      <c r="F147" s="18">
        <f>Raw_Data!F147</f>
        <v>45977</v>
      </c>
      <c r="G147" s="18">
        <f>Raw_Data!G147</f>
        <v>46823</v>
      </c>
      <c r="H147" s="19">
        <f>Raw_Data!H147</f>
        <v>10650000</v>
      </c>
      <c r="I147" s="19">
        <f>Raw_Data!I147</f>
        <v>50000</v>
      </c>
      <c r="J147" s="19">
        <f t="shared" si="68"/>
        <v>10700000</v>
      </c>
      <c r="K147" s="19">
        <f>Raw_Data!J147</f>
        <v>10960000</v>
      </c>
      <c r="L147" s="19">
        <f>Raw_Data!K147</f>
        <v>11196006.2215805</v>
      </c>
      <c r="M147" s="19">
        <f>Raw_Data!L147</f>
        <v>10084852.489372199</v>
      </c>
      <c r="N147" s="19">
        <f>Raw_Data!M147</f>
        <v>907588.42155052896</v>
      </c>
      <c r="O147" s="19">
        <f>Raw_Data!N147</f>
        <v>711175.88813720795</v>
      </c>
      <c r="P147" s="19">
        <f t="shared" si="69"/>
        <v>12103594.643131029</v>
      </c>
      <c r="Q147" s="19">
        <f t="shared" si="70"/>
        <v>10796028.377509408</v>
      </c>
      <c r="R147" s="19">
        <f t="shared" si="71"/>
        <v>96028.377509407699</v>
      </c>
      <c r="S147" s="20">
        <f t="shared" si="72"/>
        <v>8.974614720505392E-3</v>
      </c>
      <c r="T147" s="20">
        <f t="shared" si="73"/>
        <v>0.15</v>
      </c>
      <c r="U147" s="20">
        <f t="shared" si="74"/>
        <v>-0.1410253852794946</v>
      </c>
      <c r="V147" s="21">
        <f t="shared" si="75"/>
        <v>4.9555260628485112</v>
      </c>
      <c r="W147" s="19">
        <f t="shared" si="76"/>
        <v>-2719798.1834207978</v>
      </c>
      <c r="X147" s="20">
        <f>IFERROR(NPV_IRR!L147,0)</f>
        <v>2.9856045600713532E-3</v>
      </c>
      <c r="Y147" s="20">
        <f t="shared" si="77"/>
        <v>0.11</v>
      </c>
      <c r="Z147" s="17" t="str">
        <f>Raw_Data!O147</f>
        <v>Cancelled</v>
      </c>
      <c r="AA147" s="17" t="str">
        <f>Raw_Data!P147</f>
        <v>High</v>
      </c>
      <c r="AB147" s="17" t="str">
        <f t="shared" si="78"/>
        <v>Underperforming</v>
      </c>
      <c r="AC147" s="17" t="str">
        <f t="shared" si="79"/>
        <v>Review / Restructure</v>
      </c>
      <c r="AD147" s="20">
        <f t="shared" si="80"/>
        <v>0.90075445563199741</v>
      </c>
      <c r="AE147" s="20">
        <f t="shared" si="81"/>
        <v>0.78358854217447071</v>
      </c>
      <c r="AF147" s="19">
        <f t="shared" si="82"/>
        <v>-260000</v>
      </c>
      <c r="AG147" s="22">
        <f t="shared" si="83"/>
        <v>46.662807147908623</v>
      </c>
      <c r="AH147" s="17" t="str">
        <f t="shared" si="84"/>
        <v>Significantly Below Target</v>
      </c>
    </row>
    <row r="148" spans="1:34" ht="15" customHeight="1" x14ac:dyDescent="0.25">
      <c r="A148" s="17" t="str">
        <f>Raw_Data!A148</f>
        <v>INV-144</v>
      </c>
      <c r="B148" s="17" t="str">
        <f>Raw_Data!B148</f>
        <v>Plant Utility Upgrade – North</v>
      </c>
      <c r="C148" s="17" t="str">
        <f>Raw_Data!C148</f>
        <v>Infrastructure</v>
      </c>
      <c r="D148" s="17" t="str">
        <f>Raw_Data!D148</f>
        <v>Marketing</v>
      </c>
      <c r="E148" s="17" t="str">
        <f>Raw_Data!E148</f>
        <v>North</v>
      </c>
      <c r="F148" s="18">
        <f>Raw_Data!F148</f>
        <v>45400</v>
      </c>
      <c r="G148" s="18">
        <f>Raw_Data!G148</f>
        <v>45638</v>
      </c>
      <c r="H148" s="19">
        <f>Raw_Data!H148</f>
        <v>32980000</v>
      </c>
      <c r="I148" s="19">
        <f>Raw_Data!I148</f>
        <v>3820000</v>
      </c>
      <c r="J148" s="19">
        <f t="shared" si="68"/>
        <v>36800000</v>
      </c>
      <c r="K148" s="19">
        <f>Raw_Data!J148</f>
        <v>39220000</v>
      </c>
      <c r="L148" s="19">
        <f>Raw_Data!K148</f>
        <v>34696126.0133112</v>
      </c>
      <c r="M148" s="19">
        <f>Raw_Data!L148</f>
        <v>29268319.211095799</v>
      </c>
      <c r="N148" s="19">
        <f>Raw_Data!M148</f>
        <v>8036593.0651996098</v>
      </c>
      <c r="O148" s="19">
        <f>Raw_Data!N148</f>
        <v>7681609.6007762104</v>
      </c>
      <c r="P148" s="19">
        <f t="shared" si="69"/>
        <v>42732719.078510806</v>
      </c>
      <c r="Q148" s="19">
        <f t="shared" si="70"/>
        <v>36949928.811872005</v>
      </c>
      <c r="R148" s="19">
        <f t="shared" si="71"/>
        <v>149928.81187200546</v>
      </c>
      <c r="S148" s="20">
        <f t="shared" si="72"/>
        <v>4.074152496521888E-3</v>
      </c>
      <c r="T148" s="20">
        <f t="shared" si="73"/>
        <v>0.13</v>
      </c>
      <c r="U148" s="20">
        <f t="shared" si="74"/>
        <v>-0.12592584750347813</v>
      </c>
      <c r="V148" s="21">
        <f t="shared" si="75"/>
        <v>4.9797118943536596</v>
      </c>
      <c r="W148" s="19">
        <f t="shared" si="76"/>
        <v>-8786139.745874323</v>
      </c>
      <c r="X148" s="20">
        <f>IFERROR(NPV_IRR!L148,0)</f>
        <v>1.3568243501460575E-3</v>
      </c>
      <c r="Y148" s="20">
        <f t="shared" si="77"/>
        <v>0.1</v>
      </c>
      <c r="Z148" s="17" t="str">
        <f>Raw_Data!O148</f>
        <v>On Hold</v>
      </c>
      <c r="AA148" s="17" t="str">
        <f>Raw_Data!P148</f>
        <v>Medium</v>
      </c>
      <c r="AB148" s="17" t="str">
        <f t="shared" si="78"/>
        <v>Underperforming</v>
      </c>
      <c r="AC148" s="17" t="str">
        <f t="shared" si="79"/>
        <v>Review / Restructure</v>
      </c>
      <c r="AD148" s="20">
        <f t="shared" si="80"/>
        <v>0.84356158955230276</v>
      </c>
      <c r="AE148" s="20">
        <f t="shared" si="81"/>
        <v>0.95582911047710462</v>
      </c>
      <c r="AF148" s="19">
        <f t="shared" si="82"/>
        <v>-2420000</v>
      </c>
      <c r="AG148" s="22">
        <f t="shared" si="83"/>
        <v>49.185203755068244</v>
      </c>
      <c r="AH148" s="17" t="str">
        <f t="shared" si="84"/>
        <v>Significantly Below Target</v>
      </c>
    </row>
    <row r="149" spans="1:34" ht="15" customHeight="1" x14ac:dyDescent="0.25">
      <c r="A149" s="17" t="str">
        <f>Raw_Data!A149</f>
        <v>INV-145</v>
      </c>
      <c r="B149" s="17" t="str">
        <f>Raw_Data!B149</f>
        <v>ERP Cloud Migration – East</v>
      </c>
      <c r="C149" s="17" t="str">
        <f>Raw_Data!C149</f>
        <v>Technology</v>
      </c>
      <c r="D149" s="17" t="str">
        <f>Raw_Data!D149</f>
        <v>HR</v>
      </c>
      <c r="E149" s="17" t="str">
        <f>Raw_Data!E149</f>
        <v>East</v>
      </c>
      <c r="F149" s="18">
        <f>Raw_Data!F149</f>
        <v>45725</v>
      </c>
      <c r="G149" s="18">
        <f>Raw_Data!G149</f>
        <v>46139</v>
      </c>
      <c r="H149" s="19">
        <f>Raw_Data!H149</f>
        <v>9260000</v>
      </c>
      <c r="I149" s="19">
        <f>Raw_Data!I149</f>
        <v>680000</v>
      </c>
      <c r="J149" s="19">
        <f t="shared" si="68"/>
        <v>9940000</v>
      </c>
      <c r="K149" s="19">
        <f>Raw_Data!J149</f>
        <v>9490000</v>
      </c>
      <c r="L149" s="19">
        <f>Raw_Data!K149</f>
        <v>10292902.3972259</v>
      </c>
      <c r="M149" s="19">
        <f>Raw_Data!L149</f>
        <v>10012274.0588615</v>
      </c>
      <c r="N149" s="19">
        <f>Raw_Data!M149</f>
        <v>1728054.69021644</v>
      </c>
      <c r="O149" s="19">
        <f>Raw_Data!N149</f>
        <v>1568044.93532122</v>
      </c>
      <c r="P149" s="19">
        <f t="shared" si="69"/>
        <v>12020957.08744234</v>
      </c>
      <c r="Q149" s="19">
        <f t="shared" si="70"/>
        <v>11580318.994182719</v>
      </c>
      <c r="R149" s="19">
        <f t="shared" si="71"/>
        <v>1640318.9941827189</v>
      </c>
      <c r="S149" s="20">
        <f t="shared" si="72"/>
        <v>0.16502203160791939</v>
      </c>
      <c r="T149" s="20">
        <f t="shared" si="73"/>
        <v>0.2</v>
      </c>
      <c r="U149" s="20">
        <f t="shared" si="74"/>
        <v>-3.4977968392080616E-2</v>
      </c>
      <c r="V149" s="21">
        <f t="shared" si="75"/>
        <v>4.2917643309278786</v>
      </c>
      <c r="W149" s="19">
        <f t="shared" si="76"/>
        <v>-1160295.9942645635</v>
      </c>
      <c r="X149" s="20">
        <f>IFERROR(NPV_IRR!L149,0)</f>
        <v>5.3172971183625517E-2</v>
      </c>
      <c r="Y149" s="20">
        <f t="shared" si="77"/>
        <v>0.1</v>
      </c>
      <c r="Z149" s="17" t="str">
        <f>Raw_Data!O149</f>
        <v>Active</v>
      </c>
      <c r="AA149" s="17" t="str">
        <f>Raw_Data!P149</f>
        <v>Low</v>
      </c>
      <c r="AB149" s="17" t="str">
        <f t="shared" si="78"/>
        <v>Watch</v>
      </c>
      <c r="AC149" s="17" t="str">
        <f t="shared" si="79"/>
        <v>Review / Restructure</v>
      </c>
      <c r="AD149" s="20">
        <f t="shared" si="80"/>
        <v>0.97273574279301112</v>
      </c>
      <c r="AE149" s="20">
        <f t="shared" si="81"/>
        <v>0.90740469280218283</v>
      </c>
      <c r="AF149" s="19">
        <f t="shared" si="82"/>
        <v>450000</v>
      </c>
      <c r="AG149" s="22">
        <f t="shared" si="83"/>
        <v>57.055332153481331</v>
      </c>
      <c r="AH149" s="17" t="str">
        <f t="shared" si="84"/>
        <v>Below Target</v>
      </c>
    </row>
    <row r="150" spans="1:34" ht="15" customHeight="1" x14ac:dyDescent="0.25">
      <c r="A150" s="17" t="str">
        <f>Raw_Data!A150</f>
        <v>INV-146</v>
      </c>
      <c r="B150" s="17" t="str">
        <f>Raw_Data!B150</f>
        <v>Brand Repositioning – Central</v>
      </c>
      <c r="C150" s="17" t="str">
        <f>Raw_Data!C150</f>
        <v>Marketing</v>
      </c>
      <c r="D150" s="17" t="str">
        <f>Raw_Data!D150</f>
        <v>Supply Chain</v>
      </c>
      <c r="E150" s="17" t="str">
        <f>Raw_Data!E150</f>
        <v>Central</v>
      </c>
      <c r="F150" s="18">
        <f>Raw_Data!F150</f>
        <v>45718</v>
      </c>
      <c r="G150" s="18">
        <f>Raw_Data!G150</f>
        <v>45982</v>
      </c>
      <c r="H150" s="19">
        <f>Raw_Data!H150</f>
        <v>17690000</v>
      </c>
      <c r="I150" s="19">
        <f>Raw_Data!I150</f>
        <v>2850000</v>
      </c>
      <c r="J150" s="19">
        <f t="shared" si="68"/>
        <v>20540000</v>
      </c>
      <c r="K150" s="19">
        <f>Raw_Data!J150</f>
        <v>21860000</v>
      </c>
      <c r="L150" s="19">
        <f>Raw_Data!K150</f>
        <v>19389303.244608901</v>
      </c>
      <c r="M150" s="19">
        <f>Raw_Data!L150</f>
        <v>18081585.1132828</v>
      </c>
      <c r="N150" s="19">
        <f>Raw_Data!M150</f>
        <v>4441680.32370569</v>
      </c>
      <c r="O150" s="19">
        <f>Raw_Data!N150</f>
        <v>4999990.65023751</v>
      </c>
      <c r="P150" s="19">
        <f t="shared" si="69"/>
        <v>23830983.56831459</v>
      </c>
      <c r="Q150" s="19">
        <f t="shared" si="70"/>
        <v>23081575.763520308</v>
      </c>
      <c r="R150" s="19">
        <f t="shared" si="71"/>
        <v>2541575.7635203078</v>
      </c>
      <c r="S150" s="20">
        <f t="shared" si="72"/>
        <v>0.12373786579943076</v>
      </c>
      <c r="T150" s="20">
        <f t="shared" si="73"/>
        <v>0.22</v>
      </c>
      <c r="U150" s="20">
        <f t="shared" si="74"/>
        <v>-9.6262134200569241E-2</v>
      </c>
      <c r="V150" s="21">
        <f t="shared" si="75"/>
        <v>4.4494362539282983</v>
      </c>
      <c r="W150" s="19">
        <f t="shared" si="76"/>
        <v>-3899216.9950077534</v>
      </c>
      <c r="X150" s="20">
        <f>IFERROR(NPV_IRR!L150,0)</f>
        <v>4.0190871510462856E-2</v>
      </c>
      <c r="Y150" s="20">
        <f t="shared" si="77"/>
        <v>0.12</v>
      </c>
      <c r="Z150" s="17" t="str">
        <f>Raw_Data!O150</f>
        <v>Completed</v>
      </c>
      <c r="AA150" s="17" t="str">
        <f>Raw_Data!P150</f>
        <v>High</v>
      </c>
      <c r="AB150" s="17" t="str">
        <f t="shared" si="78"/>
        <v>Underperforming</v>
      </c>
      <c r="AC150" s="17" t="str">
        <f t="shared" si="79"/>
        <v>Review / Restructure</v>
      </c>
      <c r="AD150" s="20">
        <f t="shared" si="80"/>
        <v>0.93255466094741146</v>
      </c>
      <c r="AE150" s="20">
        <f t="shared" si="81"/>
        <v>1.1256979984696471</v>
      </c>
      <c r="AF150" s="19">
        <f t="shared" si="82"/>
        <v>-1320000</v>
      </c>
      <c r="AG150" s="22">
        <f t="shared" si="83"/>
        <v>51.685033235114076</v>
      </c>
      <c r="AH150" s="17" t="str">
        <f t="shared" si="84"/>
        <v>Significantly Below Target</v>
      </c>
    </row>
    <row r="151" spans="1:34" ht="15" customHeight="1" x14ac:dyDescent="0.25">
      <c r="A151" s="17" t="str">
        <f>Raw_Data!A151</f>
        <v>INV-147</v>
      </c>
      <c r="B151" s="17" t="str">
        <f>Raw_Data!B151</f>
        <v>Premium Product Line – South</v>
      </c>
      <c r="C151" s="17" t="str">
        <f>Raw_Data!C151</f>
        <v>Product Development</v>
      </c>
      <c r="D151" s="17" t="str">
        <f>Raw_Data!D151</f>
        <v>Operations</v>
      </c>
      <c r="E151" s="17" t="str">
        <f>Raw_Data!E151</f>
        <v>South</v>
      </c>
      <c r="F151" s="18">
        <f>Raw_Data!F151</f>
        <v>45782</v>
      </c>
      <c r="G151" s="18">
        <f>Raw_Data!G151</f>
        <v>46339</v>
      </c>
      <c r="H151" s="19">
        <f>Raw_Data!H151</f>
        <v>23150000</v>
      </c>
      <c r="I151" s="19">
        <f>Raw_Data!I151</f>
        <v>1880000</v>
      </c>
      <c r="J151" s="19">
        <f t="shared" si="68"/>
        <v>25030000</v>
      </c>
      <c r="K151" s="19">
        <f>Raw_Data!J151</f>
        <v>26340000</v>
      </c>
      <c r="L151" s="19">
        <f>Raw_Data!K151</f>
        <v>26953968.1252442</v>
      </c>
      <c r="M151" s="19">
        <f>Raw_Data!L151</f>
        <v>21692196.436531499</v>
      </c>
      <c r="N151" s="19">
        <f>Raw_Data!M151</f>
        <v>3379941.8962243199</v>
      </c>
      <c r="O151" s="19">
        <f>Raw_Data!N151</f>
        <v>3659394.8833004399</v>
      </c>
      <c r="P151" s="19">
        <f t="shared" si="69"/>
        <v>30333910.02146852</v>
      </c>
      <c r="Q151" s="19">
        <f t="shared" si="70"/>
        <v>25351591.319831938</v>
      </c>
      <c r="R151" s="19">
        <f t="shared" si="71"/>
        <v>321591.31983193755</v>
      </c>
      <c r="S151" s="20">
        <f t="shared" si="72"/>
        <v>1.2848234911383842E-2</v>
      </c>
      <c r="T151" s="20">
        <f t="shared" si="73"/>
        <v>0.24</v>
      </c>
      <c r="U151" s="20">
        <f t="shared" si="74"/>
        <v>-0.22715176508861615</v>
      </c>
      <c r="V151" s="21">
        <f t="shared" si="75"/>
        <v>4.9365737409193002</v>
      </c>
      <c r="W151" s="19">
        <f t="shared" si="76"/>
        <v>-5809504.608266212</v>
      </c>
      <c r="X151" s="20">
        <f>IFERROR(NPV_IRR!L151,0)</f>
        <v>4.2706122025275572E-3</v>
      </c>
      <c r="Y151" s="20">
        <f t="shared" si="77"/>
        <v>0.1</v>
      </c>
      <c r="Z151" s="17" t="str">
        <f>Raw_Data!O151</f>
        <v>Cancelled</v>
      </c>
      <c r="AA151" s="17" t="str">
        <f>Raw_Data!P151</f>
        <v>Medium</v>
      </c>
      <c r="AB151" s="17" t="str">
        <f t="shared" si="78"/>
        <v>Underperforming</v>
      </c>
      <c r="AC151" s="17" t="str">
        <f t="shared" si="79"/>
        <v>Review / Restructure</v>
      </c>
      <c r="AD151" s="20">
        <f t="shared" si="80"/>
        <v>0.80478675109121689</v>
      </c>
      <c r="AE151" s="20">
        <f t="shared" si="81"/>
        <v>1.0826798198478775</v>
      </c>
      <c r="AF151" s="19">
        <f t="shared" si="82"/>
        <v>-1310000</v>
      </c>
      <c r="AG151" s="22">
        <f t="shared" si="83"/>
        <v>42.191029131414467</v>
      </c>
      <c r="AH151" s="17" t="str">
        <f t="shared" si="84"/>
        <v>Significantly Below Target</v>
      </c>
    </row>
    <row r="152" spans="1:34" ht="15" customHeight="1" x14ac:dyDescent="0.25">
      <c r="A152" s="17" t="str">
        <f>Raw_Data!A152</f>
        <v>INV-148</v>
      </c>
      <c r="B152" s="17" t="str">
        <f>Raw_Data!B152</f>
        <v>Tier-2 City Expansion – West</v>
      </c>
      <c r="C152" s="17" t="str">
        <f>Raw_Data!C152</f>
        <v>Expansion</v>
      </c>
      <c r="D152" s="17" t="str">
        <f>Raw_Data!D152</f>
        <v>Finance</v>
      </c>
      <c r="E152" s="17" t="str">
        <f>Raw_Data!E152</f>
        <v>West</v>
      </c>
      <c r="F152" s="18">
        <f>Raw_Data!F152</f>
        <v>45585</v>
      </c>
      <c r="G152" s="18">
        <f>Raw_Data!G152</f>
        <v>46067</v>
      </c>
      <c r="H152" s="19">
        <f>Raw_Data!H152</f>
        <v>22650000</v>
      </c>
      <c r="I152" s="19">
        <f>Raw_Data!I152</f>
        <v>150000</v>
      </c>
      <c r="J152" s="19">
        <f t="shared" si="68"/>
        <v>22800000</v>
      </c>
      <c r="K152" s="19">
        <f>Raw_Data!J152</f>
        <v>24600000</v>
      </c>
      <c r="L152" s="19">
        <f>Raw_Data!K152</f>
        <v>24168635.618891802</v>
      </c>
      <c r="M152" s="19">
        <f>Raw_Data!L152</f>
        <v>22763628.072005</v>
      </c>
      <c r="N152" s="19">
        <f>Raw_Data!M152</f>
        <v>3584025.5507435398</v>
      </c>
      <c r="O152" s="19">
        <f>Raw_Data!N152</f>
        <v>4097957.6190443598</v>
      </c>
      <c r="P152" s="19">
        <f t="shared" si="69"/>
        <v>27752661.169635341</v>
      </c>
      <c r="Q152" s="19">
        <f t="shared" si="70"/>
        <v>26861585.69104936</v>
      </c>
      <c r="R152" s="19">
        <f t="shared" si="71"/>
        <v>4061585.6910493597</v>
      </c>
      <c r="S152" s="20">
        <f t="shared" si="72"/>
        <v>0.17813972329163857</v>
      </c>
      <c r="T152" s="20">
        <f t="shared" si="73"/>
        <v>0.18</v>
      </c>
      <c r="U152" s="20">
        <f t="shared" si="74"/>
        <v>-1.8602767083614191E-3</v>
      </c>
      <c r="V152" s="21">
        <f t="shared" si="75"/>
        <v>4.2439787922865007</v>
      </c>
      <c r="W152" s="19">
        <f t="shared" si="76"/>
        <v>-1903559.8562358953</v>
      </c>
      <c r="X152" s="20">
        <f>IFERROR(NPV_IRR!L152,0)</f>
        <v>5.7257429565497064E-2</v>
      </c>
      <c r="Y152" s="20">
        <f t="shared" si="77"/>
        <v>0.09</v>
      </c>
      <c r="Z152" s="17" t="str">
        <f>Raw_Data!O152</f>
        <v>On Hold</v>
      </c>
      <c r="AA152" s="17" t="str">
        <f>Raw_Data!P152</f>
        <v>Low</v>
      </c>
      <c r="AB152" s="17" t="str">
        <f t="shared" si="78"/>
        <v>Watch</v>
      </c>
      <c r="AC152" s="17" t="str">
        <f t="shared" si="79"/>
        <v>Review / Restructure</v>
      </c>
      <c r="AD152" s="20">
        <f t="shared" si="80"/>
        <v>0.9418664930432169</v>
      </c>
      <c r="AE152" s="20">
        <f t="shared" si="81"/>
        <v>1.1433952021335896</v>
      </c>
      <c r="AF152" s="19">
        <f t="shared" si="82"/>
        <v>-1800000</v>
      </c>
      <c r="AG152" s="22">
        <f t="shared" si="83"/>
        <v>61.790448332265527</v>
      </c>
      <c r="AH152" s="17" t="str">
        <f t="shared" si="84"/>
        <v>On Target</v>
      </c>
    </row>
    <row r="153" spans="1:34" ht="15" customHeight="1" x14ac:dyDescent="0.25">
      <c r="A153" s="17" t="str">
        <f>Raw_Data!A153</f>
        <v>INV-149</v>
      </c>
      <c r="B153" s="17" t="str">
        <f>Raw_Data!B153</f>
        <v>Automated Packaging Line – North</v>
      </c>
      <c r="C153" s="17" t="str">
        <f>Raw_Data!C153</f>
        <v>Equipment</v>
      </c>
      <c r="D153" s="17" t="str">
        <f>Raw_Data!D153</f>
        <v>Sales</v>
      </c>
      <c r="E153" s="17" t="str">
        <f>Raw_Data!E153</f>
        <v>North</v>
      </c>
      <c r="F153" s="18">
        <f>Raw_Data!F153</f>
        <v>46037</v>
      </c>
      <c r="G153" s="18">
        <f>Raw_Data!G153</f>
        <v>46820</v>
      </c>
      <c r="H153" s="19">
        <f>Raw_Data!H153</f>
        <v>33670000</v>
      </c>
      <c r="I153" s="19">
        <f>Raw_Data!I153</f>
        <v>3020000</v>
      </c>
      <c r="J153" s="19">
        <f t="shared" si="68"/>
        <v>36690000</v>
      </c>
      <c r="K153" s="19">
        <f>Raw_Data!J153</f>
        <v>39880000</v>
      </c>
      <c r="L153" s="19">
        <f>Raw_Data!K153</f>
        <v>35483489.362579301</v>
      </c>
      <c r="M153" s="19">
        <f>Raw_Data!L153</f>
        <v>38152523.217435002</v>
      </c>
      <c r="N153" s="19">
        <f>Raw_Data!M153</f>
        <v>5255388.0597444996</v>
      </c>
      <c r="O153" s="19">
        <f>Raw_Data!N153</f>
        <v>4238232.2298324304</v>
      </c>
      <c r="P153" s="19">
        <f t="shared" si="69"/>
        <v>40738877.422323801</v>
      </c>
      <c r="Q153" s="19">
        <f t="shared" si="70"/>
        <v>42390755.447267435</v>
      </c>
      <c r="R153" s="19">
        <f t="shared" si="71"/>
        <v>5700755.4472674355</v>
      </c>
      <c r="S153" s="20">
        <f t="shared" si="72"/>
        <v>0.15537627275190613</v>
      </c>
      <c r="T153" s="20">
        <f t="shared" si="73"/>
        <v>0.17</v>
      </c>
      <c r="U153" s="20">
        <f t="shared" si="74"/>
        <v>-1.4623727248093882E-2</v>
      </c>
      <c r="V153" s="21">
        <f t="shared" si="75"/>
        <v>4.3275944970644638</v>
      </c>
      <c r="W153" s="19">
        <f t="shared" si="76"/>
        <v>-5355626.6733072996</v>
      </c>
      <c r="X153" s="20">
        <f>IFERROR(NPV_IRR!L153,0)</f>
        <v>5.0157321332374494E-2</v>
      </c>
      <c r="Y153" s="20">
        <f t="shared" si="77"/>
        <v>0.11</v>
      </c>
      <c r="Z153" s="17" t="str">
        <f>Raw_Data!O153</f>
        <v>Active</v>
      </c>
      <c r="AA153" s="17" t="str">
        <f>Raw_Data!P153</f>
        <v>High</v>
      </c>
      <c r="AB153" s="17" t="str">
        <f t="shared" si="78"/>
        <v>Watch</v>
      </c>
      <c r="AC153" s="17" t="str">
        <f t="shared" si="79"/>
        <v>Review / Restructure</v>
      </c>
      <c r="AD153" s="20">
        <f t="shared" si="80"/>
        <v>1.0752190357487912</v>
      </c>
      <c r="AE153" s="20">
        <f t="shared" si="81"/>
        <v>0.80645466741013216</v>
      </c>
      <c r="AF153" s="19">
        <f t="shared" si="82"/>
        <v>-3190000</v>
      </c>
      <c r="AG153" s="22">
        <f t="shared" si="83"/>
        <v>58.378103479928591</v>
      </c>
      <c r="AH153" s="17" t="str">
        <f t="shared" si="84"/>
        <v>On Target</v>
      </c>
    </row>
    <row r="154" spans="1:34" ht="15" customHeight="1" x14ac:dyDescent="0.25">
      <c r="A154" s="17" t="str">
        <f>Raw_Data!A154</f>
        <v>INV-150</v>
      </c>
      <c r="B154" s="17" t="str">
        <f>Raw_Data!B154</f>
        <v>RPA Finance Rollout – East</v>
      </c>
      <c r="C154" s="17" t="str">
        <f>Raw_Data!C154</f>
        <v>Automation</v>
      </c>
      <c r="D154" s="17" t="str">
        <f>Raw_Data!D154</f>
        <v>IT</v>
      </c>
      <c r="E154" s="17" t="str">
        <f>Raw_Data!E154</f>
        <v>East</v>
      </c>
      <c r="F154" s="18">
        <f>Raw_Data!F154</f>
        <v>45607</v>
      </c>
      <c r="G154" s="18">
        <f>Raw_Data!G154</f>
        <v>46285</v>
      </c>
      <c r="H154" s="19">
        <f>Raw_Data!H154</f>
        <v>15750000</v>
      </c>
      <c r="I154" s="19">
        <f>Raw_Data!I154</f>
        <v>2010000</v>
      </c>
      <c r="J154" s="19">
        <f t="shared" si="68"/>
        <v>17760000</v>
      </c>
      <c r="K154" s="19">
        <f>Raw_Data!J154</f>
        <v>16410000</v>
      </c>
      <c r="L154" s="19">
        <f>Raw_Data!K154</f>
        <v>19201242.618349601</v>
      </c>
      <c r="M154" s="19">
        <f>Raw_Data!L154</f>
        <v>17381460.340144601</v>
      </c>
      <c r="N154" s="19">
        <f>Raw_Data!M154</f>
        <v>3532063.1489628898</v>
      </c>
      <c r="O154" s="19">
        <f>Raw_Data!N154</f>
        <v>3771824.5747931702</v>
      </c>
      <c r="P154" s="19">
        <f t="shared" si="69"/>
        <v>22733305.767312489</v>
      </c>
      <c r="Q154" s="19">
        <f t="shared" si="70"/>
        <v>21153284.914937772</v>
      </c>
      <c r="R154" s="19">
        <f t="shared" si="71"/>
        <v>3393284.9149377719</v>
      </c>
      <c r="S154" s="20">
        <f t="shared" si="72"/>
        <v>0.19106333980505472</v>
      </c>
      <c r="T154" s="20">
        <f t="shared" si="73"/>
        <v>0.25</v>
      </c>
      <c r="U154" s="20">
        <f t="shared" si="74"/>
        <v>-5.8936660194945284E-2</v>
      </c>
      <c r="V154" s="21">
        <f t="shared" si="75"/>
        <v>4.1979295583208582</v>
      </c>
      <c r="W154" s="19">
        <f t="shared" si="76"/>
        <v>-2123927.4738784153</v>
      </c>
      <c r="X154" s="20">
        <f>IFERROR(NPV_IRR!L154,0)</f>
        <v>6.1263036341589139E-2</v>
      </c>
      <c r="Y154" s="20">
        <f t="shared" si="77"/>
        <v>0.11</v>
      </c>
      <c r="Z154" s="17" t="str">
        <f>Raw_Data!O154</f>
        <v>Completed</v>
      </c>
      <c r="AA154" s="17" t="str">
        <f>Raw_Data!P154</f>
        <v>Medium</v>
      </c>
      <c r="AB154" s="17" t="str">
        <f t="shared" si="78"/>
        <v>Watch</v>
      </c>
      <c r="AC154" s="17" t="str">
        <f t="shared" si="79"/>
        <v>Review / Restructure</v>
      </c>
      <c r="AD154" s="20">
        <f t="shared" si="80"/>
        <v>0.90522580676805098</v>
      </c>
      <c r="AE154" s="20">
        <f t="shared" si="81"/>
        <v>1.0678814097365956</v>
      </c>
      <c r="AF154" s="19">
        <f t="shared" si="82"/>
        <v>1350000</v>
      </c>
      <c r="AG154" s="22">
        <f t="shared" si="83"/>
        <v>52.867143372619836</v>
      </c>
      <c r="AH154" s="17" t="str">
        <f t="shared" si="84"/>
        <v>Significantly Below Target</v>
      </c>
    </row>
  </sheetData>
  <autoFilter ref="A4:AH154"/>
  <mergeCells count="2">
    <mergeCell ref="A1:H1"/>
    <mergeCell ref="A2:H2"/>
  </mergeCells>
  <conditionalFormatting sqref="U5:U154">
    <cfRule type="colorScale" priority="2">
      <colorScale>
        <cfvo type="num" val="-0.1"/>
        <cfvo type="num" val="0"/>
        <cfvo type="num" val="0.1"/>
        <color rgb="FFC00000"/>
        <color rgb="FFFFD966"/>
        <color rgb="FF70AD47"/>
      </colorScale>
    </cfRule>
  </conditionalFormatting>
  <conditionalFormatting sqref="AG5:AG154">
    <cfRule type="colorScale" priority="3">
      <colorScale>
        <cfvo type="num" val="0"/>
        <cfvo type="num" val="60"/>
        <cfvo type="num" val="100"/>
        <color rgb="FFC00000"/>
        <color rgb="FFFFD966"/>
        <color rgb="FF70AD47"/>
      </colorScale>
    </cfRule>
  </conditionalFormatting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54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customHeight="1" x14ac:dyDescent="0.25"/>
  <cols>
    <col min="1" max="1" width="14" style="15" customWidth="1"/>
    <col min="2" max="2" width="34" style="15" customWidth="1"/>
    <col min="3" max="3" width="22" style="15" customWidth="1"/>
    <col min="4" max="4" width="16" style="15" customWidth="1"/>
    <col min="5" max="5" width="18" style="15" customWidth="1"/>
    <col min="6" max="8" width="12" style="15" customWidth="1"/>
    <col min="9" max="9" width="28" style="15" customWidth="1"/>
    <col min="10" max="10" width="18" style="15" customWidth="1"/>
    <col min="11" max="11" width="22" style="15" customWidth="1"/>
  </cols>
  <sheetData>
    <row r="1" spans="1:11" ht="30" customHeight="1" x14ac:dyDescent="0.25">
      <c r="A1" s="14" t="s">
        <v>255</v>
      </c>
      <c r="B1" s="14"/>
      <c r="C1" s="14"/>
      <c r="D1" s="14"/>
      <c r="E1" s="14"/>
      <c r="F1" s="14"/>
      <c r="G1" s="14"/>
      <c r="H1" s="14"/>
    </row>
    <row r="2" spans="1:11" ht="19.5" customHeight="1" x14ac:dyDescent="0.25">
      <c r="A2" s="13" t="s">
        <v>256</v>
      </c>
      <c r="B2" s="13"/>
      <c r="C2" s="13"/>
      <c r="D2" s="13"/>
      <c r="E2" s="13"/>
      <c r="F2" s="13"/>
      <c r="G2" s="13"/>
      <c r="H2" s="13"/>
    </row>
    <row r="4" spans="1:11" ht="27.75" customHeight="1" x14ac:dyDescent="0.25">
      <c r="A4" s="16" t="s">
        <v>2</v>
      </c>
      <c r="B4" s="16" t="s">
        <v>3</v>
      </c>
      <c r="C4" s="16" t="s">
        <v>257</v>
      </c>
      <c r="D4" s="16" t="s">
        <v>5</v>
      </c>
      <c r="E4" s="16" t="s">
        <v>258</v>
      </c>
      <c r="F4" s="16" t="s">
        <v>259</v>
      </c>
      <c r="G4" s="16" t="s">
        <v>260</v>
      </c>
      <c r="H4" s="16" t="s">
        <v>261</v>
      </c>
      <c r="I4" s="16" t="s">
        <v>262</v>
      </c>
      <c r="J4" s="16" t="s">
        <v>263</v>
      </c>
      <c r="K4" s="16" t="s">
        <v>264</v>
      </c>
    </row>
    <row r="5" spans="1:11" ht="15" customHeight="1" x14ac:dyDescent="0.25">
      <c r="A5" s="17" t="str">
        <f>Investment_Master!A5</f>
        <v>INV-001</v>
      </c>
      <c r="B5" s="17" t="str">
        <f>Investment_Master!B5</f>
        <v>ERP Cloud Migration – Central</v>
      </c>
      <c r="C5" s="17" t="str">
        <f>Investment_Master!C5</f>
        <v>Technology</v>
      </c>
      <c r="D5" s="17" t="str">
        <f>Investment_Master!D5</f>
        <v>HR</v>
      </c>
      <c r="E5" s="19">
        <f>Investment_Master!J5</f>
        <v>36250000</v>
      </c>
      <c r="F5" s="20">
        <f>Investment_Master!S5</f>
        <v>0.26630301447107113</v>
      </c>
      <c r="G5" s="20">
        <f>Investment_Master!T5</f>
        <v>0.2</v>
      </c>
      <c r="H5" s="20">
        <f>Investment_Master!U5</f>
        <v>6.630301447107112E-2</v>
      </c>
      <c r="I5" s="17" t="str">
        <f>Investment_Master!AH5</f>
        <v>Significantly Above Target</v>
      </c>
      <c r="J5" s="17" t="str">
        <f>Investment_Master!AB5</f>
        <v>Watch</v>
      </c>
      <c r="K5" s="17" t="str">
        <f>Investment_Master!AC5</f>
        <v>Review / Restructure</v>
      </c>
    </row>
    <row r="6" spans="1:11" ht="15" customHeight="1" x14ac:dyDescent="0.25">
      <c r="A6" s="17" t="str">
        <f>Investment_Master!A6</f>
        <v>INV-002</v>
      </c>
      <c r="B6" s="17" t="str">
        <f>Investment_Master!B6</f>
        <v>Brand Repositioning – South</v>
      </c>
      <c r="C6" s="17" t="str">
        <f>Investment_Master!C6</f>
        <v>Marketing</v>
      </c>
      <c r="D6" s="17" t="str">
        <f>Investment_Master!D6</f>
        <v>Supply Chain</v>
      </c>
      <c r="E6" s="19">
        <f>Investment_Master!J6</f>
        <v>8020000</v>
      </c>
      <c r="F6" s="20">
        <f>Investment_Master!S6</f>
        <v>0.17740180510776535</v>
      </c>
      <c r="G6" s="20">
        <f>Investment_Master!T6</f>
        <v>0.22</v>
      </c>
      <c r="H6" s="20">
        <f>Investment_Master!U6</f>
        <v>-4.2598194892234653E-2</v>
      </c>
      <c r="I6" s="17" t="str">
        <f>Investment_Master!AH6</f>
        <v>Below Target</v>
      </c>
      <c r="J6" s="17" t="str">
        <f>Investment_Master!AB6</f>
        <v>Watch</v>
      </c>
      <c r="K6" s="17" t="str">
        <f>Investment_Master!AC6</f>
        <v>Review / Restructure</v>
      </c>
    </row>
    <row r="7" spans="1:11" ht="15" customHeight="1" x14ac:dyDescent="0.25">
      <c r="A7" s="17" t="str">
        <f>Investment_Master!A7</f>
        <v>INV-003</v>
      </c>
      <c r="B7" s="17" t="str">
        <f>Investment_Master!B7</f>
        <v>Premium Product Line – West</v>
      </c>
      <c r="C7" s="17" t="str">
        <f>Investment_Master!C7</f>
        <v>Product Development</v>
      </c>
      <c r="D7" s="17" t="str">
        <f>Investment_Master!D7</f>
        <v>Operations</v>
      </c>
      <c r="E7" s="19">
        <f>Investment_Master!J7</f>
        <v>35540000</v>
      </c>
      <c r="F7" s="20">
        <f>Investment_Master!S7</f>
        <v>0.1980882142976895</v>
      </c>
      <c r="G7" s="20">
        <f>Investment_Master!T7</f>
        <v>0.24</v>
      </c>
      <c r="H7" s="20">
        <f>Investment_Master!U7</f>
        <v>-4.1911785702310494E-2</v>
      </c>
      <c r="I7" s="17" t="str">
        <f>Investment_Master!AH7</f>
        <v>Below Target</v>
      </c>
      <c r="J7" s="17" t="str">
        <f>Investment_Master!AB7</f>
        <v>Watch</v>
      </c>
      <c r="K7" s="17" t="str">
        <f>Investment_Master!AC7</f>
        <v>Review / Restructure</v>
      </c>
    </row>
    <row r="8" spans="1:11" ht="15" customHeight="1" x14ac:dyDescent="0.25">
      <c r="A8" s="17" t="str">
        <f>Investment_Master!A8</f>
        <v>INV-004</v>
      </c>
      <c r="B8" s="17" t="str">
        <f>Investment_Master!B8</f>
        <v>Tier-2 City Expansion – North</v>
      </c>
      <c r="C8" s="17" t="str">
        <f>Investment_Master!C8</f>
        <v>Expansion</v>
      </c>
      <c r="D8" s="17" t="str">
        <f>Investment_Master!D8</f>
        <v>Finance</v>
      </c>
      <c r="E8" s="19">
        <f>Investment_Master!J8</f>
        <v>23090000</v>
      </c>
      <c r="F8" s="20">
        <f>Investment_Master!S8</f>
        <v>0.20683139231252451</v>
      </c>
      <c r="G8" s="20">
        <f>Investment_Master!T8</f>
        <v>0.18</v>
      </c>
      <c r="H8" s="20">
        <f>Investment_Master!U8</f>
        <v>2.6831392312524516E-2</v>
      </c>
      <c r="I8" s="17" t="str">
        <f>Investment_Master!AH8</f>
        <v>Above Target</v>
      </c>
      <c r="J8" s="17" t="str">
        <f>Investment_Master!AB8</f>
        <v>Watch</v>
      </c>
      <c r="K8" s="17" t="str">
        <f>Investment_Master!AC8</f>
        <v>Review / Restructure</v>
      </c>
    </row>
    <row r="9" spans="1:11" ht="15" customHeight="1" x14ac:dyDescent="0.25">
      <c r="A9" s="17" t="str">
        <f>Investment_Master!A9</f>
        <v>INV-005</v>
      </c>
      <c r="B9" s="17" t="str">
        <f>Investment_Master!B9</f>
        <v>Automated Packaging Line – East</v>
      </c>
      <c r="C9" s="17" t="str">
        <f>Investment_Master!C9</f>
        <v>Equipment</v>
      </c>
      <c r="D9" s="17" t="str">
        <f>Investment_Master!D9</f>
        <v>Sales</v>
      </c>
      <c r="E9" s="19">
        <f>Investment_Master!J9</f>
        <v>31290000</v>
      </c>
      <c r="F9" s="20">
        <f>Investment_Master!S9</f>
        <v>0.17518158170548837</v>
      </c>
      <c r="G9" s="20">
        <f>Investment_Master!T9</f>
        <v>0.17</v>
      </c>
      <c r="H9" s="20">
        <f>Investment_Master!U9</f>
        <v>5.1815817054883528E-3</v>
      </c>
      <c r="I9" s="17" t="str">
        <f>Investment_Master!AH9</f>
        <v>On Target</v>
      </c>
      <c r="J9" s="17" t="str">
        <f>Investment_Master!AB9</f>
        <v>Watch</v>
      </c>
      <c r="K9" s="17" t="str">
        <f>Investment_Master!AC9</f>
        <v>Review / Restructure</v>
      </c>
    </row>
    <row r="10" spans="1:11" ht="15" customHeight="1" x14ac:dyDescent="0.25">
      <c r="A10" s="17" t="str">
        <f>Investment_Master!A10</f>
        <v>INV-006</v>
      </c>
      <c r="B10" s="17" t="str">
        <f>Investment_Master!B10</f>
        <v>RPA Finance Rollout – Central</v>
      </c>
      <c r="C10" s="17" t="str">
        <f>Investment_Master!C10</f>
        <v>Automation</v>
      </c>
      <c r="D10" s="17" t="str">
        <f>Investment_Master!D10</f>
        <v>IT</v>
      </c>
      <c r="E10" s="19">
        <f>Investment_Master!J10</f>
        <v>18900000</v>
      </c>
      <c r="F10" s="20">
        <f>Investment_Master!S10</f>
        <v>0.24912920747129533</v>
      </c>
      <c r="G10" s="20">
        <f>Investment_Master!T10</f>
        <v>0.25</v>
      </c>
      <c r="H10" s="20">
        <f>Investment_Master!U10</f>
        <v>-8.707925287046725E-4</v>
      </c>
      <c r="I10" s="17" t="str">
        <f>Investment_Master!AH10</f>
        <v>On Target</v>
      </c>
      <c r="J10" s="17" t="str">
        <f>Investment_Master!AB10</f>
        <v>Watch</v>
      </c>
      <c r="K10" s="17" t="str">
        <f>Investment_Master!AC10</f>
        <v>Review / Restructure</v>
      </c>
    </row>
    <row r="11" spans="1:11" ht="15" customHeight="1" x14ac:dyDescent="0.25">
      <c r="A11" s="17" t="str">
        <f>Investment_Master!A11</f>
        <v>INV-007</v>
      </c>
      <c r="B11" s="17" t="str">
        <f>Investment_Master!B11</f>
        <v>Leadership Development – South</v>
      </c>
      <c r="C11" s="17" t="str">
        <f>Investment_Master!C11</f>
        <v>Training</v>
      </c>
      <c r="D11" s="17" t="str">
        <f>Investment_Master!D11</f>
        <v>Product</v>
      </c>
      <c r="E11" s="19">
        <f>Investment_Master!J11</f>
        <v>13230000</v>
      </c>
      <c r="F11" s="20">
        <f>Investment_Master!S11</f>
        <v>2.8790874699689589E-3</v>
      </c>
      <c r="G11" s="20">
        <f>Investment_Master!T11</f>
        <v>0.15</v>
      </c>
      <c r="H11" s="20">
        <f>Investment_Master!U11</f>
        <v>-0.14712091253003104</v>
      </c>
      <c r="I11" s="17" t="str">
        <f>Investment_Master!AH11</f>
        <v>Significantly Below Target</v>
      </c>
      <c r="J11" s="17" t="str">
        <f>Investment_Master!AB11</f>
        <v>Underperforming</v>
      </c>
      <c r="K11" s="17" t="str">
        <f>Investment_Master!AC11</f>
        <v>Review / Restructure</v>
      </c>
    </row>
    <row r="12" spans="1:11" ht="15" customHeight="1" x14ac:dyDescent="0.25">
      <c r="A12" s="17" t="str">
        <f>Investment_Master!A12</f>
        <v>INV-008</v>
      </c>
      <c r="B12" s="17" t="str">
        <f>Investment_Master!B12</f>
        <v>Plant Utility Upgrade – West</v>
      </c>
      <c r="C12" s="17" t="str">
        <f>Investment_Master!C12</f>
        <v>Infrastructure</v>
      </c>
      <c r="D12" s="17" t="str">
        <f>Investment_Master!D12</f>
        <v>Marketing</v>
      </c>
      <c r="E12" s="19">
        <f>Investment_Master!J12</f>
        <v>17620000</v>
      </c>
      <c r="F12" s="20">
        <f>Investment_Master!S12</f>
        <v>0.11455006871241527</v>
      </c>
      <c r="G12" s="20">
        <f>Investment_Master!T12</f>
        <v>0.13</v>
      </c>
      <c r="H12" s="20">
        <f>Investment_Master!U12</f>
        <v>-1.5449931287584734E-2</v>
      </c>
      <c r="I12" s="17" t="str">
        <f>Investment_Master!AH12</f>
        <v>Below Target</v>
      </c>
      <c r="J12" s="17" t="str">
        <f>Investment_Master!AB12</f>
        <v>Watch</v>
      </c>
      <c r="K12" s="17" t="str">
        <f>Investment_Master!AC12</f>
        <v>Review / Restructure</v>
      </c>
    </row>
    <row r="13" spans="1:11" ht="15" customHeight="1" x14ac:dyDescent="0.25">
      <c r="A13" s="17" t="str">
        <f>Investment_Master!A13</f>
        <v>INV-009</v>
      </c>
      <c r="B13" s="17" t="str">
        <f>Investment_Master!B13</f>
        <v>ERP Cloud Migration – North</v>
      </c>
      <c r="C13" s="17" t="str">
        <f>Investment_Master!C13</f>
        <v>Technology</v>
      </c>
      <c r="D13" s="17" t="str">
        <f>Investment_Master!D13</f>
        <v>HR</v>
      </c>
      <c r="E13" s="19">
        <f>Investment_Master!J13</f>
        <v>20840000</v>
      </c>
      <c r="F13" s="20">
        <f>Investment_Master!S13</f>
        <v>0.30053204630780894</v>
      </c>
      <c r="G13" s="20">
        <f>Investment_Master!T13</f>
        <v>0.2</v>
      </c>
      <c r="H13" s="20">
        <f>Investment_Master!U13</f>
        <v>0.10053204630780893</v>
      </c>
      <c r="I13" s="17" t="str">
        <f>Investment_Master!AH13</f>
        <v>Significantly Above Target</v>
      </c>
      <c r="J13" s="17" t="str">
        <f>Investment_Master!AB13</f>
        <v>Good</v>
      </c>
      <c r="K13" s="17" t="str">
        <f>Investment_Master!AC13</f>
        <v>Review / Restructure</v>
      </c>
    </row>
    <row r="14" spans="1:11" ht="15" customHeight="1" x14ac:dyDescent="0.25">
      <c r="A14" s="17" t="str">
        <f>Investment_Master!A14</f>
        <v>INV-010</v>
      </c>
      <c r="B14" s="17" t="str">
        <f>Investment_Master!B14</f>
        <v>Brand Repositioning – East</v>
      </c>
      <c r="C14" s="17" t="str">
        <f>Investment_Master!C14</f>
        <v>Marketing</v>
      </c>
      <c r="D14" s="17" t="str">
        <f>Investment_Master!D14</f>
        <v>Supply Chain</v>
      </c>
      <c r="E14" s="19">
        <f>Investment_Master!J14</f>
        <v>9510000</v>
      </c>
      <c r="F14" s="20">
        <f>Investment_Master!S14</f>
        <v>0.23539867195576236</v>
      </c>
      <c r="G14" s="20">
        <f>Investment_Master!T14</f>
        <v>0.22</v>
      </c>
      <c r="H14" s="20">
        <f>Investment_Master!U14</f>
        <v>1.5398671955762361E-2</v>
      </c>
      <c r="I14" s="17" t="str">
        <f>Investment_Master!AH14</f>
        <v>Above Target</v>
      </c>
      <c r="J14" s="17" t="str">
        <f>Investment_Master!AB14</f>
        <v>Watch</v>
      </c>
      <c r="K14" s="17" t="str">
        <f>Investment_Master!AC14</f>
        <v>Review / Restructure</v>
      </c>
    </row>
    <row r="15" spans="1:11" ht="15" customHeight="1" x14ac:dyDescent="0.25">
      <c r="A15" s="17" t="str">
        <f>Investment_Master!A15</f>
        <v>INV-011</v>
      </c>
      <c r="B15" s="17" t="str">
        <f>Investment_Master!B15</f>
        <v>Premium Product Line – Central</v>
      </c>
      <c r="C15" s="17" t="str">
        <f>Investment_Master!C15</f>
        <v>Product Development</v>
      </c>
      <c r="D15" s="17" t="str">
        <f>Investment_Master!D15</f>
        <v>Operations</v>
      </c>
      <c r="E15" s="19">
        <f>Investment_Master!J15</f>
        <v>24030000</v>
      </c>
      <c r="F15" s="20">
        <f>Investment_Master!S15</f>
        <v>6.2876581688889252E-2</v>
      </c>
      <c r="G15" s="20">
        <f>Investment_Master!T15</f>
        <v>0.24</v>
      </c>
      <c r="H15" s="20">
        <f>Investment_Master!U15</f>
        <v>-0.17712341831111073</v>
      </c>
      <c r="I15" s="17" t="str">
        <f>Investment_Master!AH15</f>
        <v>Significantly Below Target</v>
      </c>
      <c r="J15" s="17" t="str">
        <f>Investment_Master!AB15</f>
        <v>Underperforming</v>
      </c>
      <c r="K15" s="17" t="str">
        <f>Investment_Master!AC15</f>
        <v>Review / Restructure</v>
      </c>
    </row>
    <row r="16" spans="1:11" ht="15" customHeight="1" x14ac:dyDescent="0.25">
      <c r="A16" s="17" t="str">
        <f>Investment_Master!A16</f>
        <v>INV-012</v>
      </c>
      <c r="B16" s="17" t="str">
        <f>Investment_Master!B16</f>
        <v>Tier-2 City Expansion – South</v>
      </c>
      <c r="C16" s="17" t="str">
        <f>Investment_Master!C16</f>
        <v>Expansion</v>
      </c>
      <c r="D16" s="17" t="str">
        <f>Investment_Master!D16</f>
        <v>Finance</v>
      </c>
      <c r="E16" s="19">
        <f>Investment_Master!J16</f>
        <v>29770000</v>
      </c>
      <c r="F16" s="20">
        <f>Investment_Master!S16</f>
        <v>0.17726458391662378</v>
      </c>
      <c r="G16" s="20">
        <f>Investment_Master!T16</f>
        <v>0.18</v>
      </c>
      <c r="H16" s="20">
        <f>Investment_Master!U16</f>
        <v>-2.7354160833762131E-3</v>
      </c>
      <c r="I16" s="17" t="str">
        <f>Investment_Master!AH16</f>
        <v>On Target</v>
      </c>
      <c r="J16" s="17" t="str">
        <f>Investment_Master!AB16</f>
        <v>Watch</v>
      </c>
      <c r="K16" s="17" t="str">
        <f>Investment_Master!AC16</f>
        <v>Review / Restructure</v>
      </c>
    </row>
    <row r="17" spans="1:11" ht="15" customHeight="1" x14ac:dyDescent="0.25">
      <c r="A17" s="17" t="str">
        <f>Investment_Master!A17</f>
        <v>INV-013</v>
      </c>
      <c r="B17" s="17" t="str">
        <f>Investment_Master!B17</f>
        <v>Automated Packaging Line – West</v>
      </c>
      <c r="C17" s="17" t="str">
        <f>Investment_Master!C17</f>
        <v>Equipment</v>
      </c>
      <c r="D17" s="17" t="str">
        <f>Investment_Master!D17</f>
        <v>Sales</v>
      </c>
      <c r="E17" s="19">
        <f>Investment_Master!J17</f>
        <v>10900000</v>
      </c>
      <c r="F17" s="20">
        <f>Investment_Master!S17</f>
        <v>0.10400934300911467</v>
      </c>
      <c r="G17" s="20">
        <f>Investment_Master!T17</f>
        <v>0.17</v>
      </c>
      <c r="H17" s="20">
        <f>Investment_Master!U17</f>
        <v>-6.5990656990885341E-2</v>
      </c>
      <c r="I17" s="17" t="str">
        <f>Investment_Master!AH17</f>
        <v>Significantly Below Target</v>
      </c>
      <c r="J17" s="17" t="str">
        <f>Investment_Master!AB17</f>
        <v>Watch</v>
      </c>
      <c r="K17" s="17" t="str">
        <f>Investment_Master!AC17</f>
        <v>Review / Restructure</v>
      </c>
    </row>
    <row r="18" spans="1:11" ht="15" customHeight="1" x14ac:dyDescent="0.25">
      <c r="A18" s="17" t="str">
        <f>Investment_Master!A18</f>
        <v>INV-014</v>
      </c>
      <c r="B18" s="17" t="str">
        <f>Investment_Master!B18</f>
        <v>RPA Finance Rollout – North</v>
      </c>
      <c r="C18" s="17" t="str">
        <f>Investment_Master!C18</f>
        <v>Automation</v>
      </c>
      <c r="D18" s="17" t="str">
        <f>Investment_Master!D18</f>
        <v>IT</v>
      </c>
      <c r="E18" s="19">
        <f>Investment_Master!J18</f>
        <v>17990000</v>
      </c>
      <c r="F18" s="20">
        <f>Investment_Master!S18</f>
        <v>0.29833699302144528</v>
      </c>
      <c r="G18" s="20">
        <f>Investment_Master!T18</f>
        <v>0.25</v>
      </c>
      <c r="H18" s="20">
        <f>Investment_Master!U18</f>
        <v>4.8336993021445285E-2</v>
      </c>
      <c r="I18" s="17" t="str">
        <f>Investment_Master!AH18</f>
        <v>Above Target</v>
      </c>
      <c r="J18" s="17" t="str">
        <f>Investment_Master!AB18</f>
        <v>Watch</v>
      </c>
      <c r="K18" s="17" t="str">
        <f>Investment_Master!AC18</f>
        <v>Review / Restructure</v>
      </c>
    </row>
    <row r="19" spans="1:11" ht="15" customHeight="1" x14ac:dyDescent="0.25">
      <c r="A19" s="17" t="str">
        <f>Investment_Master!A19</f>
        <v>INV-015</v>
      </c>
      <c r="B19" s="17" t="str">
        <f>Investment_Master!B19</f>
        <v>Leadership Development – East</v>
      </c>
      <c r="C19" s="17" t="str">
        <f>Investment_Master!C19</f>
        <v>Training</v>
      </c>
      <c r="D19" s="17" t="str">
        <f>Investment_Master!D19</f>
        <v>Product</v>
      </c>
      <c r="E19" s="19">
        <f>Investment_Master!J19</f>
        <v>3540000</v>
      </c>
      <c r="F19" s="20">
        <f>Investment_Master!S19</f>
        <v>6.2889577719814668E-2</v>
      </c>
      <c r="G19" s="20">
        <f>Investment_Master!T19</f>
        <v>0.15</v>
      </c>
      <c r="H19" s="20">
        <f>Investment_Master!U19</f>
        <v>-8.7110422280185326E-2</v>
      </c>
      <c r="I19" s="17" t="str">
        <f>Investment_Master!AH19</f>
        <v>Significantly Below Target</v>
      </c>
      <c r="J19" s="17" t="str">
        <f>Investment_Master!AB19</f>
        <v>Watch</v>
      </c>
      <c r="K19" s="17" t="str">
        <f>Investment_Master!AC19</f>
        <v>Review / Restructure</v>
      </c>
    </row>
    <row r="20" spans="1:11" ht="15" customHeight="1" x14ac:dyDescent="0.25">
      <c r="A20" s="17" t="str">
        <f>Investment_Master!A20</f>
        <v>INV-016</v>
      </c>
      <c r="B20" s="17" t="str">
        <f>Investment_Master!B20</f>
        <v>Plant Utility Upgrade – Central</v>
      </c>
      <c r="C20" s="17" t="str">
        <f>Investment_Master!C20</f>
        <v>Infrastructure</v>
      </c>
      <c r="D20" s="17" t="str">
        <f>Investment_Master!D20</f>
        <v>Marketing</v>
      </c>
      <c r="E20" s="19">
        <f>Investment_Master!J20</f>
        <v>35980000</v>
      </c>
      <c r="F20" s="20">
        <f>Investment_Master!S20</f>
        <v>0.16871676757097651</v>
      </c>
      <c r="G20" s="20">
        <f>Investment_Master!T20</f>
        <v>0.13</v>
      </c>
      <c r="H20" s="20">
        <f>Investment_Master!U20</f>
        <v>3.8716767570976501E-2</v>
      </c>
      <c r="I20" s="17" t="str">
        <f>Investment_Master!AH20</f>
        <v>Above Target</v>
      </c>
      <c r="J20" s="17" t="str">
        <f>Investment_Master!AB20</f>
        <v>Watch</v>
      </c>
      <c r="K20" s="17" t="str">
        <f>Investment_Master!AC20</f>
        <v>Review / Restructure</v>
      </c>
    </row>
    <row r="21" spans="1:11" ht="15" customHeight="1" x14ac:dyDescent="0.25">
      <c r="A21" s="17" t="str">
        <f>Investment_Master!A21</f>
        <v>INV-017</v>
      </c>
      <c r="B21" s="17" t="str">
        <f>Investment_Master!B21</f>
        <v>ERP Cloud Migration – South</v>
      </c>
      <c r="C21" s="17" t="str">
        <f>Investment_Master!C21</f>
        <v>Technology</v>
      </c>
      <c r="D21" s="17" t="str">
        <f>Investment_Master!D21</f>
        <v>HR</v>
      </c>
      <c r="E21" s="19">
        <f>Investment_Master!J21</f>
        <v>33640000</v>
      </c>
      <c r="F21" s="20">
        <f>Investment_Master!S21</f>
        <v>0.23018514605189799</v>
      </c>
      <c r="G21" s="20">
        <f>Investment_Master!T21</f>
        <v>0.2</v>
      </c>
      <c r="H21" s="20">
        <f>Investment_Master!U21</f>
        <v>3.0185146051897982E-2</v>
      </c>
      <c r="I21" s="17" t="str">
        <f>Investment_Master!AH21</f>
        <v>Above Target</v>
      </c>
      <c r="J21" s="17" t="str">
        <f>Investment_Master!AB21</f>
        <v>Watch</v>
      </c>
      <c r="K21" s="17" t="str">
        <f>Investment_Master!AC21</f>
        <v>Review / Restructure</v>
      </c>
    </row>
    <row r="22" spans="1:11" ht="15" customHeight="1" x14ac:dyDescent="0.25">
      <c r="A22" s="17" t="str">
        <f>Investment_Master!A22</f>
        <v>INV-018</v>
      </c>
      <c r="B22" s="17" t="str">
        <f>Investment_Master!B22</f>
        <v>Brand Repositioning – West</v>
      </c>
      <c r="C22" s="17" t="str">
        <f>Investment_Master!C22</f>
        <v>Marketing</v>
      </c>
      <c r="D22" s="17" t="str">
        <f>Investment_Master!D22</f>
        <v>Supply Chain</v>
      </c>
      <c r="E22" s="19">
        <f>Investment_Master!J22</f>
        <v>12340000</v>
      </c>
      <c r="F22" s="20">
        <f>Investment_Master!S22</f>
        <v>0.15564271794378687</v>
      </c>
      <c r="G22" s="20">
        <f>Investment_Master!T22</f>
        <v>0.22</v>
      </c>
      <c r="H22" s="20">
        <f>Investment_Master!U22</f>
        <v>-6.4357282056213133E-2</v>
      </c>
      <c r="I22" s="17" t="str">
        <f>Investment_Master!AH22</f>
        <v>Significantly Below Target</v>
      </c>
      <c r="J22" s="17" t="str">
        <f>Investment_Master!AB22</f>
        <v>Watch</v>
      </c>
      <c r="K22" s="17" t="str">
        <f>Investment_Master!AC22</f>
        <v>Review / Restructure</v>
      </c>
    </row>
    <row r="23" spans="1:11" ht="15" customHeight="1" x14ac:dyDescent="0.25">
      <c r="A23" s="17" t="str">
        <f>Investment_Master!A23</f>
        <v>INV-019</v>
      </c>
      <c r="B23" s="17" t="str">
        <f>Investment_Master!B23</f>
        <v>Premium Product Line – North</v>
      </c>
      <c r="C23" s="17" t="str">
        <f>Investment_Master!C23</f>
        <v>Product Development</v>
      </c>
      <c r="D23" s="17" t="str">
        <f>Investment_Master!D23</f>
        <v>Operations</v>
      </c>
      <c r="E23" s="19">
        <f>Investment_Master!J23</f>
        <v>26730000</v>
      </c>
      <c r="F23" s="20">
        <f>Investment_Master!S23</f>
        <v>5.400960209080221E-2</v>
      </c>
      <c r="G23" s="20">
        <f>Investment_Master!T23</f>
        <v>0.24</v>
      </c>
      <c r="H23" s="20">
        <f>Investment_Master!U23</f>
        <v>-0.18599039790919777</v>
      </c>
      <c r="I23" s="17" t="str">
        <f>Investment_Master!AH23</f>
        <v>Significantly Below Target</v>
      </c>
      <c r="J23" s="17" t="str">
        <f>Investment_Master!AB23</f>
        <v>Underperforming</v>
      </c>
      <c r="K23" s="17" t="str">
        <f>Investment_Master!AC23</f>
        <v>Review / Restructure</v>
      </c>
    </row>
    <row r="24" spans="1:11" ht="15" customHeight="1" x14ac:dyDescent="0.25">
      <c r="A24" s="17" t="str">
        <f>Investment_Master!A24</f>
        <v>INV-020</v>
      </c>
      <c r="B24" s="17" t="str">
        <f>Investment_Master!B24</f>
        <v>Tier-2 City Expansion – East</v>
      </c>
      <c r="C24" s="17" t="str">
        <f>Investment_Master!C24</f>
        <v>Expansion</v>
      </c>
      <c r="D24" s="17" t="str">
        <f>Investment_Master!D24</f>
        <v>Finance</v>
      </c>
      <c r="E24" s="19">
        <f>Investment_Master!J24</f>
        <v>55370000</v>
      </c>
      <c r="F24" s="20">
        <f>Investment_Master!S24</f>
        <v>4.786642928408983E-2</v>
      </c>
      <c r="G24" s="20">
        <f>Investment_Master!T24</f>
        <v>0.18</v>
      </c>
      <c r="H24" s="20">
        <f>Investment_Master!U24</f>
        <v>-0.13213357071591017</v>
      </c>
      <c r="I24" s="17" t="str">
        <f>Investment_Master!AH24</f>
        <v>Significantly Below Target</v>
      </c>
      <c r="J24" s="17" t="str">
        <f>Investment_Master!AB24</f>
        <v>Underperforming</v>
      </c>
      <c r="K24" s="17" t="str">
        <f>Investment_Master!AC24</f>
        <v>Review / Restructure</v>
      </c>
    </row>
    <row r="25" spans="1:11" ht="15" customHeight="1" x14ac:dyDescent="0.25">
      <c r="A25" s="17" t="str">
        <f>Investment_Master!A25</f>
        <v>INV-021</v>
      </c>
      <c r="B25" s="17" t="str">
        <f>Investment_Master!B25</f>
        <v>Automated Packaging Line – Central</v>
      </c>
      <c r="C25" s="17" t="str">
        <f>Investment_Master!C25</f>
        <v>Equipment</v>
      </c>
      <c r="D25" s="17" t="str">
        <f>Investment_Master!D25</f>
        <v>Sales</v>
      </c>
      <c r="E25" s="19">
        <f>Investment_Master!J25</f>
        <v>18210000</v>
      </c>
      <c r="F25" s="20">
        <f>Investment_Master!S25</f>
        <v>0.14394119504249703</v>
      </c>
      <c r="G25" s="20">
        <f>Investment_Master!T25</f>
        <v>0.17</v>
      </c>
      <c r="H25" s="20">
        <f>Investment_Master!U25</f>
        <v>-2.6058804957502985E-2</v>
      </c>
      <c r="I25" s="17" t="str">
        <f>Investment_Master!AH25</f>
        <v>Below Target</v>
      </c>
      <c r="J25" s="17" t="str">
        <f>Investment_Master!AB25</f>
        <v>Watch</v>
      </c>
      <c r="K25" s="17" t="str">
        <f>Investment_Master!AC25</f>
        <v>Review / Restructure</v>
      </c>
    </row>
    <row r="26" spans="1:11" ht="15" customHeight="1" x14ac:dyDescent="0.25">
      <c r="A26" s="17" t="str">
        <f>Investment_Master!A26</f>
        <v>INV-022</v>
      </c>
      <c r="B26" s="17" t="str">
        <f>Investment_Master!B26</f>
        <v>RPA Finance Rollout – South</v>
      </c>
      <c r="C26" s="17" t="str">
        <f>Investment_Master!C26</f>
        <v>Automation</v>
      </c>
      <c r="D26" s="17" t="str">
        <f>Investment_Master!D26</f>
        <v>IT</v>
      </c>
      <c r="E26" s="19">
        <f>Investment_Master!J26</f>
        <v>29650000</v>
      </c>
      <c r="F26" s="20">
        <f>Investment_Master!S26</f>
        <v>0.22225073275770346</v>
      </c>
      <c r="G26" s="20">
        <f>Investment_Master!T26</f>
        <v>0.25</v>
      </c>
      <c r="H26" s="20">
        <f>Investment_Master!U26</f>
        <v>-2.7749267242296538E-2</v>
      </c>
      <c r="I26" s="17" t="str">
        <f>Investment_Master!AH26</f>
        <v>Below Target</v>
      </c>
      <c r="J26" s="17" t="str">
        <f>Investment_Master!AB26</f>
        <v>Watch</v>
      </c>
      <c r="K26" s="17" t="str">
        <f>Investment_Master!AC26</f>
        <v>Review / Restructure</v>
      </c>
    </row>
    <row r="27" spans="1:11" ht="15" customHeight="1" x14ac:dyDescent="0.25">
      <c r="A27" s="17" t="str">
        <f>Investment_Master!A27</f>
        <v>INV-023</v>
      </c>
      <c r="B27" s="17" t="str">
        <f>Investment_Master!B27</f>
        <v>Leadership Development – West</v>
      </c>
      <c r="C27" s="17" t="str">
        <f>Investment_Master!C27</f>
        <v>Training</v>
      </c>
      <c r="D27" s="17" t="str">
        <f>Investment_Master!D27</f>
        <v>Product</v>
      </c>
      <c r="E27" s="19">
        <f>Investment_Master!J27</f>
        <v>2670000</v>
      </c>
      <c r="F27" s="20">
        <f>Investment_Master!S27</f>
        <v>-0.14335482749914427</v>
      </c>
      <c r="G27" s="20">
        <f>Investment_Master!T27</f>
        <v>0.15</v>
      </c>
      <c r="H27" s="20">
        <f>Investment_Master!U27</f>
        <v>-0.29335482749914427</v>
      </c>
      <c r="I27" s="17" t="str">
        <f>Investment_Master!AH27</f>
        <v>Significantly Below Target</v>
      </c>
      <c r="J27" s="17" t="str">
        <f>Investment_Master!AB27</f>
        <v>Underperforming</v>
      </c>
      <c r="K27" s="17" t="str">
        <f>Investment_Master!AC27</f>
        <v>Review / Restructure</v>
      </c>
    </row>
    <row r="28" spans="1:11" ht="15" customHeight="1" x14ac:dyDescent="0.25">
      <c r="A28" s="17" t="str">
        <f>Investment_Master!A28</f>
        <v>INV-024</v>
      </c>
      <c r="B28" s="17" t="str">
        <f>Investment_Master!B28</f>
        <v>Plant Utility Upgrade – North</v>
      </c>
      <c r="C28" s="17" t="str">
        <f>Investment_Master!C28</f>
        <v>Infrastructure</v>
      </c>
      <c r="D28" s="17" t="str">
        <f>Investment_Master!D28</f>
        <v>Marketing</v>
      </c>
      <c r="E28" s="19">
        <f>Investment_Master!J28</f>
        <v>44500000</v>
      </c>
      <c r="F28" s="20">
        <f>Investment_Master!S28</f>
        <v>7.1530586598819057E-2</v>
      </c>
      <c r="G28" s="20">
        <f>Investment_Master!T28</f>
        <v>0.13</v>
      </c>
      <c r="H28" s="20">
        <f>Investment_Master!U28</f>
        <v>-5.8469413401180947E-2</v>
      </c>
      <c r="I28" s="17" t="str">
        <f>Investment_Master!AH28</f>
        <v>Significantly Below Target</v>
      </c>
      <c r="J28" s="17" t="str">
        <f>Investment_Master!AB28</f>
        <v>Watch</v>
      </c>
      <c r="K28" s="17" t="str">
        <f>Investment_Master!AC28</f>
        <v>Review / Restructure</v>
      </c>
    </row>
    <row r="29" spans="1:11" ht="15" customHeight="1" x14ac:dyDescent="0.25">
      <c r="A29" s="17" t="str">
        <f>Investment_Master!A29</f>
        <v>INV-025</v>
      </c>
      <c r="B29" s="17" t="str">
        <f>Investment_Master!B29</f>
        <v>ERP Cloud Migration – East</v>
      </c>
      <c r="C29" s="17" t="str">
        <f>Investment_Master!C29</f>
        <v>Technology</v>
      </c>
      <c r="D29" s="17" t="str">
        <f>Investment_Master!D29</f>
        <v>HR</v>
      </c>
      <c r="E29" s="19">
        <f>Investment_Master!J29</f>
        <v>23650000</v>
      </c>
      <c r="F29" s="20">
        <f>Investment_Master!S29</f>
        <v>0.24548649412904022</v>
      </c>
      <c r="G29" s="20">
        <f>Investment_Master!T29</f>
        <v>0.2</v>
      </c>
      <c r="H29" s="20">
        <f>Investment_Master!U29</f>
        <v>4.5486494129040211E-2</v>
      </c>
      <c r="I29" s="17" t="str">
        <f>Investment_Master!AH29</f>
        <v>Above Target</v>
      </c>
      <c r="J29" s="17" t="str">
        <f>Investment_Master!AB29</f>
        <v>Watch</v>
      </c>
      <c r="K29" s="17" t="str">
        <f>Investment_Master!AC29</f>
        <v>Review / Restructure</v>
      </c>
    </row>
    <row r="30" spans="1:11" ht="15" customHeight="1" x14ac:dyDescent="0.25">
      <c r="A30" s="17" t="str">
        <f>Investment_Master!A30</f>
        <v>INV-026</v>
      </c>
      <c r="B30" s="17" t="str">
        <f>Investment_Master!B30</f>
        <v>Brand Repositioning – Central</v>
      </c>
      <c r="C30" s="17" t="str">
        <f>Investment_Master!C30</f>
        <v>Marketing</v>
      </c>
      <c r="D30" s="17" t="str">
        <f>Investment_Master!D30</f>
        <v>Supply Chain</v>
      </c>
      <c r="E30" s="19">
        <f>Investment_Master!J30</f>
        <v>19680000</v>
      </c>
      <c r="F30" s="20">
        <f>Investment_Master!S30</f>
        <v>0.19276223962109204</v>
      </c>
      <c r="G30" s="20">
        <f>Investment_Master!T30</f>
        <v>0.22</v>
      </c>
      <c r="H30" s="20">
        <f>Investment_Master!U30</f>
        <v>-2.723776037890796E-2</v>
      </c>
      <c r="I30" s="17" t="str">
        <f>Investment_Master!AH30</f>
        <v>Below Target</v>
      </c>
      <c r="J30" s="17" t="str">
        <f>Investment_Master!AB30</f>
        <v>Watch</v>
      </c>
      <c r="K30" s="17" t="str">
        <f>Investment_Master!AC30</f>
        <v>Review / Restructure</v>
      </c>
    </row>
    <row r="31" spans="1:11" ht="15" customHeight="1" x14ac:dyDescent="0.25">
      <c r="A31" s="17" t="str">
        <f>Investment_Master!A31</f>
        <v>INV-027</v>
      </c>
      <c r="B31" s="17" t="str">
        <f>Investment_Master!B31</f>
        <v>Premium Product Line – South</v>
      </c>
      <c r="C31" s="17" t="str">
        <f>Investment_Master!C31</f>
        <v>Product Development</v>
      </c>
      <c r="D31" s="17" t="str">
        <f>Investment_Master!D31</f>
        <v>Operations</v>
      </c>
      <c r="E31" s="19">
        <f>Investment_Master!J31</f>
        <v>21180000</v>
      </c>
      <c r="F31" s="20">
        <f>Investment_Master!S31</f>
        <v>0.15261561982631119</v>
      </c>
      <c r="G31" s="20">
        <f>Investment_Master!T31</f>
        <v>0.24</v>
      </c>
      <c r="H31" s="20">
        <f>Investment_Master!U31</f>
        <v>-8.7384380173688797E-2</v>
      </c>
      <c r="I31" s="17" t="str">
        <f>Investment_Master!AH31</f>
        <v>Significantly Below Target</v>
      </c>
      <c r="J31" s="17" t="str">
        <f>Investment_Master!AB31</f>
        <v>Watch</v>
      </c>
      <c r="K31" s="17" t="str">
        <f>Investment_Master!AC31</f>
        <v>Review / Restructure</v>
      </c>
    </row>
    <row r="32" spans="1:11" ht="15" customHeight="1" x14ac:dyDescent="0.25">
      <c r="A32" s="17" t="str">
        <f>Investment_Master!A32</f>
        <v>INV-028</v>
      </c>
      <c r="B32" s="17" t="str">
        <f>Investment_Master!B32</f>
        <v>Tier-2 City Expansion – West</v>
      </c>
      <c r="C32" s="17" t="str">
        <f>Investment_Master!C32</f>
        <v>Expansion</v>
      </c>
      <c r="D32" s="17" t="str">
        <f>Investment_Master!D32</f>
        <v>Finance</v>
      </c>
      <c r="E32" s="19">
        <f>Investment_Master!J32</f>
        <v>48920000</v>
      </c>
      <c r="F32" s="20">
        <f>Investment_Master!S32</f>
        <v>8.7303776498285718E-2</v>
      </c>
      <c r="G32" s="20">
        <f>Investment_Master!T32</f>
        <v>0.18</v>
      </c>
      <c r="H32" s="20">
        <f>Investment_Master!U32</f>
        <v>-9.2696223501714275E-2</v>
      </c>
      <c r="I32" s="17" t="str">
        <f>Investment_Master!AH32</f>
        <v>Significantly Below Target</v>
      </c>
      <c r="J32" s="17" t="str">
        <f>Investment_Master!AB32</f>
        <v>Watch</v>
      </c>
      <c r="K32" s="17" t="str">
        <f>Investment_Master!AC32</f>
        <v>Review / Restructure</v>
      </c>
    </row>
    <row r="33" spans="1:11" ht="15" customHeight="1" x14ac:dyDescent="0.25">
      <c r="A33" s="17" t="str">
        <f>Investment_Master!A33</f>
        <v>INV-029</v>
      </c>
      <c r="B33" s="17" t="str">
        <f>Investment_Master!B33</f>
        <v>Automated Packaging Line – North</v>
      </c>
      <c r="C33" s="17" t="str">
        <f>Investment_Master!C33</f>
        <v>Equipment</v>
      </c>
      <c r="D33" s="17" t="str">
        <f>Investment_Master!D33</f>
        <v>Sales</v>
      </c>
      <c r="E33" s="19">
        <f>Investment_Master!J33</f>
        <v>26540000</v>
      </c>
      <c r="F33" s="20">
        <f>Investment_Master!S33</f>
        <v>6.6073930067242242E-2</v>
      </c>
      <c r="G33" s="20">
        <f>Investment_Master!T33</f>
        <v>0.17</v>
      </c>
      <c r="H33" s="20">
        <f>Investment_Master!U33</f>
        <v>-0.10392606993275777</v>
      </c>
      <c r="I33" s="17" t="str">
        <f>Investment_Master!AH33</f>
        <v>Significantly Below Target</v>
      </c>
      <c r="J33" s="17" t="str">
        <f>Investment_Master!AB33</f>
        <v>Underperforming</v>
      </c>
      <c r="K33" s="17" t="str">
        <f>Investment_Master!AC33</f>
        <v>Review / Restructure</v>
      </c>
    </row>
    <row r="34" spans="1:11" ht="15" customHeight="1" x14ac:dyDescent="0.25">
      <c r="A34" s="17" t="str">
        <f>Investment_Master!A34</f>
        <v>INV-030</v>
      </c>
      <c r="B34" s="17" t="str">
        <f>Investment_Master!B34</f>
        <v>RPA Finance Rollout – East</v>
      </c>
      <c r="C34" s="17" t="str">
        <f>Investment_Master!C34</f>
        <v>Automation</v>
      </c>
      <c r="D34" s="17" t="str">
        <f>Investment_Master!D34</f>
        <v>IT</v>
      </c>
      <c r="E34" s="19">
        <f>Investment_Master!J34</f>
        <v>25230000</v>
      </c>
      <c r="F34" s="20">
        <f>Investment_Master!S34</f>
        <v>0.38734790407986663</v>
      </c>
      <c r="G34" s="20">
        <f>Investment_Master!T34</f>
        <v>0.25</v>
      </c>
      <c r="H34" s="20">
        <f>Investment_Master!U34</f>
        <v>0.13734790407986663</v>
      </c>
      <c r="I34" s="17" t="str">
        <f>Investment_Master!AH34</f>
        <v>Significantly Above Target</v>
      </c>
      <c r="J34" s="17" t="str">
        <f>Investment_Master!AB34</f>
        <v>Good</v>
      </c>
      <c r="K34" s="17" t="str">
        <f>Investment_Master!AC34</f>
        <v>Increase / Scale</v>
      </c>
    </row>
    <row r="35" spans="1:11" ht="15" customHeight="1" x14ac:dyDescent="0.25">
      <c r="A35" s="17" t="str">
        <f>Investment_Master!A35</f>
        <v>INV-031</v>
      </c>
      <c r="B35" s="17" t="str">
        <f>Investment_Master!B35</f>
        <v>Leadership Development – Central</v>
      </c>
      <c r="C35" s="17" t="str">
        <f>Investment_Master!C35</f>
        <v>Training</v>
      </c>
      <c r="D35" s="17" t="str">
        <f>Investment_Master!D35</f>
        <v>Product</v>
      </c>
      <c r="E35" s="19">
        <f>Investment_Master!J35</f>
        <v>10930000</v>
      </c>
      <c r="F35" s="20">
        <f>Investment_Master!S35</f>
        <v>0.10765829272207592</v>
      </c>
      <c r="G35" s="20">
        <f>Investment_Master!T35</f>
        <v>0.15</v>
      </c>
      <c r="H35" s="20">
        <f>Investment_Master!U35</f>
        <v>-4.2341707277924079E-2</v>
      </c>
      <c r="I35" s="17" t="str">
        <f>Investment_Master!AH35</f>
        <v>Below Target</v>
      </c>
      <c r="J35" s="17" t="str">
        <f>Investment_Master!AB35</f>
        <v>Watch</v>
      </c>
      <c r="K35" s="17" t="str">
        <f>Investment_Master!AC35</f>
        <v>Review / Restructure</v>
      </c>
    </row>
    <row r="36" spans="1:11" ht="15" customHeight="1" x14ac:dyDescent="0.25">
      <c r="A36" s="17" t="str">
        <f>Investment_Master!A36</f>
        <v>INV-032</v>
      </c>
      <c r="B36" s="17" t="str">
        <f>Investment_Master!B36</f>
        <v>Plant Utility Upgrade – South</v>
      </c>
      <c r="C36" s="17" t="str">
        <f>Investment_Master!C36</f>
        <v>Infrastructure</v>
      </c>
      <c r="D36" s="17" t="str">
        <f>Investment_Master!D36</f>
        <v>Marketing</v>
      </c>
      <c r="E36" s="19">
        <f>Investment_Master!J36</f>
        <v>19850000</v>
      </c>
      <c r="F36" s="20">
        <f>Investment_Master!S36</f>
        <v>-5.0894322740367287E-3</v>
      </c>
      <c r="G36" s="20">
        <f>Investment_Master!T36</f>
        <v>0.13</v>
      </c>
      <c r="H36" s="20">
        <f>Investment_Master!U36</f>
        <v>-0.13508943227403675</v>
      </c>
      <c r="I36" s="17" t="str">
        <f>Investment_Master!AH36</f>
        <v>Significantly Below Target</v>
      </c>
      <c r="J36" s="17" t="str">
        <f>Investment_Master!AB36</f>
        <v>Underperforming</v>
      </c>
      <c r="K36" s="17" t="str">
        <f>Investment_Master!AC36</f>
        <v>Review / Restructure</v>
      </c>
    </row>
    <row r="37" spans="1:11" ht="15" customHeight="1" x14ac:dyDescent="0.25">
      <c r="A37" s="17" t="str">
        <f>Investment_Master!A37</f>
        <v>INV-033</v>
      </c>
      <c r="B37" s="17" t="str">
        <f>Investment_Master!B37</f>
        <v>ERP Cloud Migration – West</v>
      </c>
      <c r="C37" s="17" t="str">
        <f>Investment_Master!C37</f>
        <v>Technology</v>
      </c>
      <c r="D37" s="17" t="str">
        <f>Investment_Master!D37</f>
        <v>HR</v>
      </c>
      <c r="E37" s="19">
        <f>Investment_Master!J37</f>
        <v>15810000</v>
      </c>
      <c r="F37" s="20">
        <f>Investment_Master!S37</f>
        <v>0.32455102756953197</v>
      </c>
      <c r="G37" s="20">
        <f>Investment_Master!T37</f>
        <v>0.2</v>
      </c>
      <c r="H37" s="20">
        <f>Investment_Master!U37</f>
        <v>0.12455102756953196</v>
      </c>
      <c r="I37" s="17" t="str">
        <f>Investment_Master!AH37</f>
        <v>Significantly Above Target</v>
      </c>
      <c r="J37" s="17" t="str">
        <f>Investment_Master!AB37</f>
        <v>Good</v>
      </c>
      <c r="K37" s="17" t="str">
        <f>Investment_Master!AC37</f>
        <v>Increase / Scale</v>
      </c>
    </row>
    <row r="38" spans="1:11" ht="15" customHeight="1" x14ac:dyDescent="0.25">
      <c r="A38" s="17" t="str">
        <f>Investment_Master!A38</f>
        <v>INV-034</v>
      </c>
      <c r="B38" s="17" t="str">
        <f>Investment_Master!B38</f>
        <v>Brand Repositioning – North</v>
      </c>
      <c r="C38" s="17" t="str">
        <f>Investment_Master!C38</f>
        <v>Marketing</v>
      </c>
      <c r="D38" s="17" t="str">
        <f>Investment_Master!D38</f>
        <v>Supply Chain</v>
      </c>
      <c r="E38" s="19">
        <f>Investment_Master!J38</f>
        <v>20530000</v>
      </c>
      <c r="F38" s="20">
        <f>Investment_Master!S38</f>
        <v>0.18814070772756702</v>
      </c>
      <c r="G38" s="20">
        <f>Investment_Master!T38</f>
        <v>0.22</v>
      </c>
      <c r="H38" s="20">
        <f>Investment_Master!U38</f>
        <v>-3.1859292272432976E-2</v>
      </c>
      <c r="I38" s="17" t="str">
        <f>Investment_Master!AH38</f>
        <v>Below Target</v>
      </c>
      <c r="J38" s="17" t="str">
        <f>Investment_Master!AB38</f>
        <v>Watch</v>
      </c>
      <c r="K38" s="17" t="str">
        <f>Investment_Master!AC38</f>
        <v>Review / Restructure</v>
      </c>
    </row>
    <row r="39" spans="1:11" ht="15" customHeight="1" x14ac:dyDescent="0.25">
      <c r="A39" s="17" t="str">
        <f>Investment_Master!A39</f>
        <v>INV-035</v>
      </c>
      <c r="B39" s="17" t="str">
        <f>Investment_Master!B39</f>
        <v>Premium Product Line – East</v>
      </c>
      <c r="C39" s="17" t="str">
        <f>Investment_Master!C39</f>
        <v>Product Development</v>
      </c>
      <c r="D39" s="17" t="str">
        <f>Investment_Master!D39</f>
        <v>Operations</v>
      </c>
      <c r="E39" s="19">
        <f>Investment_Master!J39</f>
        <v>18730000</v>
      </c>
      <c r="F39" s="20">
        <f>Investment_Master!S39</f>
        <v>3.6960184494177255E-2</v>
      </c>
      <c r="G39" s="20">
        <f>Investment_Master!T39</f>
        <v>0.24</v>
      </c>
      <c r="H39" s="20">
        <f>Investment_Master!U39</f>
        <v>-0.20303981550582273</v>
      </c>
      <c r="I39" s="17" t="str">
        <f>Investment_Master!AH39</f>
        <v>Significantly Below Target</v>
      </c>
      <c r="J39" s="17" t="str">
        <f>Investment_Master!AB39</f>
        <v>Underperforming</v>
      </c>
      <c r="K39" s="17" t="str">
        <f>Investment_Master!AC39</f>
        <v>Review / Restructure</v>
      </c>
    </row>
    <row r="40" spans="1:11" ht="15" customHeight="1" x14ac:dyDescent="0.25">
      <c r="A40" s="17" t="str">
        <f>Investment_Master!A40</f>
        <v>INV-036</v>
      </c>
      <c r="B40" s="17" t="str">
        <f>Investment_Master!B40</f>
        <v>Tier-2 City Expansion – Central</v>
      </c>
      <c r="C40" s="17" t="str">
        <f>Investment_Master!C40</f>
        <v>Expansion</v>
      </c>
      <c r="D40" s="17" t="str">
        <f>Investment_Master!D40</f>
        <v>Finance</v>
      </c>
      <c r="E40" s="19">
        <f>Investment_Master!J40</f>
        <v>34210000</v>
      </c>
      <c r="F40" s="20">
        <f>Investment_Master!S40</f>
        <v>0.16234013903712938</v>
      </c>
      <c r="G40" s="20">
        <f>Investment_Master!T40</f>
        <v>0.18</v>
      </c>
      <c r="H40" s="20">
        <f>Investment_Master!U40</f>
        <v>-1.7659860962870616E-2</v>
      </c>
      <c r="I40" s="17" t="str">
        <f>Investment_Master!AH40</f>
        <v>Below Target</v>
      </c>
      <c r="J40" s="17" t="str">
        <f>Investment_Master!AB40</f>
        <v>Watch</v>
      </c>
      <c r="K40" s="17" t="str">
        <f>Investment_Master!AC40</f>
        <v>Review / Restructure</v>
      </c>
    </row>
    <row r="41" spans="1:11" ht="15" customHeight="1" x14ac:dyDescent="0.25">
      <c r="A41" s="17" t="str">
        <f>Investment_Master!A41</f>
        <v>INV-037</v>
      </c>
      <c r="B41" s="17" t="str">
        <f>Investment_Master!B41</f>
        <v>Automated Packaging Line – South</v>
      </c>
      <c r="C41" s="17" t="str">
        <f>Investment_Master!C41</f>
        <v>Equipment</v>
      </c>
      <c r="D41" s="17" t="str">
        <f>Investment_Master!D41</f>
        <v>Sales</v>
      </c>
      <c r="E41" s="19">
        <f>Investment_Master!J41</f>
        <v>11870000</v>
      </c>
      <c r="F41" s="20">
        <f>Investment_Master!S41</f>
        <v>0.15425585421859722</v>
      </c>
      <c r="G41" s="20">
        <f>Investment_Master!T41</f>
        <v>0.17</v>
      </c>
      <c r="H41" s="20">
        <f>Investment_Master!U41</f>
        <v>-1.5744145781402791E-2</v>
      </c>
      <c r="I41" s="17" t="str">
        <f>Investment_Master!AH41</f>
        <v>Below Target</v>
      </c>
      <c r="J41" s="17" t="str">
        <f>Investment_Master!AB41</f>
        <v>Watch</v>
      </c>
      <c r="K41" s="17" t="str">
        <f>Investment_Master!AC41</f>
        <v>Review / Restructure</v>
      </c>
    </row>
    <row r="42" spans="1:11" ht="15" customHeight="1" x14ac:dyDescent="0.25">
      <c r="A42" s="17" t="str">
        <f>Investment_Master!A42</f>
        <v>INV-038</v>
      </c>
      <c r="B42" s="17" t="str">
        <f>Investment_Master!B42</f>
        <v>RPA Finance Rollout – West</v>
      </c>
      <c r="C42" s="17" t="str">
        <f>Investment_Master!C42</f>
        <v>Automation</v>
      </c>
      <c r="D42" s="17" t="str">
        <f>Investment_Master!D42</f>
        <v>IT</v>
      </c>
      <c r="E42" s="19">
        <f>Investment_Master!J42</f>
        <v>31870000</v>
      </c>
      <c r="F42" s="20">
        <f>Investment_Master!S42</f>
        <v>6.7474471394015412E-2</v>
      </c>
      <c r="G42" s="20">
        <f>Investment_Master!T42</f>
        <v>0.25</v>
      </c>
      <c r="H42" s="20">
        <f>Investment_Master!U42</f>
        <v>-0.18252552860598459</v>
      </c>
      <c r="I42" s="17" t="str">
        <f>Investment_Master!AH42</f>
        <v>Significantly Below Target</v>
      </c>
      <c r="J42" s="17" t="str">
        <f>Investment_Master!AB42</f>
        <v>Underperforming</v>
      </c>
      <c r="K42" s="17" t="str">
        <f>Investment_Master!AC42</f>
        <v>Review / Restructure</v>
      </c>
    </row>
    <row r="43" spans="1:11" ht="15" customHeight="1" x14ac:dyDescent="0.25">
      <c r="A43" s="17" t="str">
        <f>Investment_Master!A43</f>
        <v>INV-039</v>
      </c>
      <c r="B43" s="17" t="str">
        <f>Investment_Master!B43</f>
        <v>Leadership Development – North</v>
      </c>
      <c r="C43" s="17" t="str">
        <f>Investment_Master!C43</f>
        <v>Training</v>
      </c>
      <c r="D43" s="17" t="str">
        <f>Investment_Master!D43</f>
        <v>Product</v>
      </c>
      <c r="E43" s="19">
        <f>Investment_Master!J43</f>
        <v>11700000</v>
      </c>
      <c r="F43" s="20">
        <f>Investment_Master!S43</f>
        <v>-5.1420046586137677E-2</v>
      </c>
      <c r="G43" s="20">
        <f>Investment_Master!T43</f>
        <v>0.15</v>
      </c>
      <c r="H43" s="20">
        <f>Investment_Master!U43</f>
        <v>-0.20142004658613766</v>
      </c>
      <c r="I43" s="17" t="str">
        <f>Investment_Master!AH43</f>
        <v>Significantly Below Target</v>
      </c>
      <c r="J43" s="17" t="str">
        <f>Investment_Master!AB43</f>
        <v>Underperforming</v>
      </c>
      <c r="K43" s="17" t="str">
        <f>Investment_Master!AC43</f>
        <v>Review / Restructure</v>
      </c>
    </row>
    <row r="44" spans="1:11" ht="15" customHeight="1" x14ac:dyDescent="0.25">
      <c r="A44" s="17" t="str">
        <f>Investment_Master!A44</f>
        <v>INV-040</v>
      </c>
      <c r="B44" s="17" t="str">
        <f>Investment_Master!B44</f>
        <v>Plant Utility Upgrade – East</v>
      </c>
      <c r="C44" s="17" t="str">
        <f>Investment_Master!C44</f>
        <v>Infrastructure</v>
      </c>
      <c r="D44" s="17" t="str">
        <f>Investment_Master!D44</f>
        <v>Marketing</v>
      </c>
      <c r="E44" s="19">
        <f>Investment_Master!J44</f>
        <v>42930000</v>
      </c>
      <c r="F44" s="20">
        <f>Investment_Master!S44</f>
        <v>0.18814888398197357</v>
      </c>
      <c r="G44" s="20">
        <f>Investment_Master!T44</f>
        <v>0.13</v>
      </c>
      <c r="H44" s="20">
        <f>Investment_Master!U44</f>
        <v>5.814888398197357E-2</v>
      </c>
      <c r="I44" s="17" t="str">
        <f>Investment_Master!AH44</f>
        <v>Significantly Above Target</v>
      </c>
      <c r="J44" s="17" t="str">
        <f>Investment_Master!AB44</f>
        <v>Watch</v>
      </c>
      <c r="K44" s="17" t="str">
        <f>Investment_Master!AC44</f>
        <v>Review / Restructure</v>
      </c>
    </row>
    <row r="45" spans="1:11" ht="15" customHeight="1" x14ac:dyDescent="0.25">
      <c r="A45" s="17" t="str">
        <f>Investment_Master!A45</f>
        <v>INV-041</v>
      </c>
      <c r="B45" s="17" t="str">
        <f>Investment_Master!B45</f>
        <v>ERP Cloud Migration – Central</v>
      </c>
      <c r="C45" s="17" t="str">
        <f>Investment_Master!C45</f>
        <v>Technology</v>
      </c>
      <c r="D45" s="17" t="str">
        <f>Investment_Master!D45</f>
        <v>HR</v>
      </c>
      <c r="E45" s="19">
        <f>Investment_Master!J45</f>
        <v>37920000</v>
      </c>
      <c r="F45" s="20">
        <f>Investment_Master!S45</f>
        <v>0.12288899233615996</v>
      </c>
      <c r="G45" s="20">
        <f>Investment_Master!T45</f>
        <v>0.2</v>
      </c>
      <c r="H45" s="20">
        <f>Investment_Master!U45</f>
        <v>-7.7111007663840048E-2</v>
      </c>
      <c r="I45" s="17" t="str">
        <f>Investment_Master!AH45</f>
        <v>Significantly Below Target</v>
      </c>
      <c r="J45" s="17" t="str">
        <f>Investment_Master!AB45</f>
        <v>Underperforming</v>
      </c>
      <c r="K45" s="17" t="str">
        <f>Investment_Master!AC45</f>
        <v>Review / Restructure</v>
      </c>
    </row>
    <row r="46" spans="1:11" ht="15" customHeight="1" x14ac:dyDescent="0.25">
      <c r="A46" s="17" t="str">
        <f>Investment_Master!A46</f>
        <v>INV-042</v>
      </c>
      <c r="B46" s="17" t="str">
        <f>Investment_Master!B46</f>
        <v>Brand Repositioning – South</v>
      </c>
      <c r="C46" s="17" t="str">
        <f>Investment_Master!C46</f>
        <v>Marketing</v>
      </c>
      <c r="D46" s="17" t="str">
        <f>Investment_Master!D46</f>
        <v>Supply Chain</v>
      </c>
      <c r="E46" s="19">
        <f>Investment_Master!J46</f>
        <v>7550000</v>
      </c>
      <c r="F46" s="20">
        <f>Investment_Master!S46</f>
        <v>0.21676264718589033</v>
      </c>
      <c r="G46" s="20">
        <f>Investment_Master!T46</f>
        <v>0.22</v>
      </c>
      <c r="H46" s="20">
        <f>Investment_Master!U46</f>
        <v>-3.2373528141096675E-3</v>
      </c>
      <c r="I46" s="17" t="str">
        <f>Investment_Master!AH46</f>
        <v>On Target</v>
      </c>
      <c r="J46" s="17" t="str">
        <f>Investment_Master!AB46</f>
        <v>Watch</v>
      </c>
      <c r="K46" s="17" t="str">
        <f>Investment_Master!AC46</f>
        <v>Review / Restructure</v>
      </c>
    </row>
    <row r="47" spans="1:11" ht="15" customHeight="1" x14ac:dyDescent="0.25">
      <c r="A47" s="17" t="str">
        <f>Investment_Master!A47</f>
        <v>INV-043</v>
      </c>
      <c r="B47" s="17" t="str">
        <f>Investment_Master!B47</f>
        <v>Premium Product Line – West</v>
      </c>
      <c r="C47" s="17" t="str">
        <f>Investment_Master!C47</f>
        <v>Product Development</v>
      </c>
      <c r="D47" s="17" t="str">
        <f>Investment_Master!D47</f>
        <v>Operations</v>
      </c>
      <c r="E47" s="19">
        <f>Investment_Master!J47</f>
        <v>30280000</v>
      </c>
      <c r="F47" s="20">
        <f>Investment_Master!S47</f>
        <v>5.3177210531215206E-2</v>
      </c>
      <c r="G47" s="20">
        <f>Investment_Master!T47</f>
        <v>0.24</v>
      </c>
      <c r="H47" s="20">
        <f>Investment_Master!U47</f>
        <v>-0.18682278946878478</v>
      </c>
      <c r="I47" s="17" t="str">
        <f>Investment_Master!AH47</f>
        <v>Significantly Below Target</v>
      </c>
      <c r="J47" s="17" t="str">
        <f>Investment_Master!AB47</f>
        <v>Underperforming</v>
      </c>
      <c r="K47" s="17" t="str">
        <f>Investment_Master!AC47</f>
        <v>Review / Restructure</v>
      </c>
    </row>
    <row r="48" spans="1:11" ht="15" customHeight="1" x14ac:dyDescent="0.25">
      <c r="A48" s="17" t="str">
        <f>Investment_Master!A48</f>
        <v>INV-044</v>
      </c>
      <c r="B48" s="17" t="str">
        <f>Investment_Master!B48</f>
        <v>Tier-2 City Expansion – North</v>
      </c>
      <c r="C48" s="17" t="str">
        <f>Investment_Master!C48</f>
        <v>Expansion</v>
      </c>
      <c r="D48" s="17" t="str">
        <f>Investment_Master!D48</f>
        <v>Finance</v>
      </c>
      <c r="E48" s="19">
        <f>Investment_Master!J48</f>
        <v>29100000</v>
      </c>
      <c r="F48" s="20">
        <f>Investment_Master!S48</f>
        <v>2.6519691085848202E-2</v>
      </c>
      <c r="G48" s="20">
        <f>Investment_Master!T48</f>
        <v>0.18</v>
      </c>
      <c r="H48" s="20">
        <f>Investment_Master!U48</f>
        <v>-0.15348030891415179</v>
      </c>
      <c r="I48" s="17" t="str">
        <f>Investment_Master!AH48</f>
        <v>Significantly Below Target</v>
      </c>
      <c r="J48" s="17" t="str">
        <f>Investment_Master!AB48</f>
        <v>Underperforming</v>
      </c>
      <c r="K48" s="17" t="str">
        <f>Investment_Master!AC48</f>
        <v>Review / Restructure</v>
      </c>
    </row>
    <row r="49" spans="1:11" ht="15" customHeight="1" x14ac:dyDescent="0.25">
      <c r="A49" s="17" t="str">
        <f>Investment_Master!A49</f>
        <v>INV-045</v>
      </c>
      <c r="B49" s="17" t="str">
        <f>Investment_Master!B49</f>
        <v>Automated Packaging Line – East</v>
      </c>
      <c r="C49" s="17" t="str">
        <f>Investment_Master!C49</f>
        <v>Equipment</v>
      </c>
      <c r="D49" s="17" t="str">
        <f>Investment_Master!D49</f>
        <v>Sales</v>
      </c>
      <c r="E49" s="19">
        <f>Investment_Master!J49</f>
        <v>33850000</v>
      </c>
      <c r="F49" s="20">
        <f>Investment_Master!S49</f>
        <v>0.16392218256674476</v>
      </c>
      <c r="G49" s="20">
        <f>Investment_Master!T49</f>
        <v>0.17</v>
      </c>
      <c r="H49" s="20">
        <f>Investment_Master!U49</f>
        <v>-6.0778174332552504E-3</v>
      </c>
      <c r="I49" s="17" t="str">
        <f>Investment_Master!AH49</f>
        <v>On Target</v>
      </c>
      <c r="J49" s="17" t="str">
        <f>Investment_Master!AB49</f>
        <v>Watch</v>
      </c>
      <c r="K49" s="17" t="str">
        <f>Investment_Master!AC49</f>
        <v>Review / Restructure</v>
      </c>
    </row>
    <row r="50" spans="1:11" ht="15" customHeight="1" x14ac:dyDescent="0.25">
      <c r="A50" s="17" t="str">
        <f>Investment_Master!A50</f>
        <v>INV-046</v>
      </c>
      <c r="B50" s="17" t="str">
        <f>Investment_Master!B50</f>
        <v>RPA Finance Rollout – Central</v>
      </c>
      <c r="C50" s="17" t="str">
        <f>Investment_Master!C50</f>
        <v>Automation</v>
      </c>
      <c r="D50" s="17" t="str">
        <f>Investment_Master!D50</f>
        <v>IT</v>
      </c>
      <c r="E50" s="19">
        <f>Investment_Master!J50</f>
        <v>13720000</v>
      </c>
      <c r="F50" s="20">
        <f>Investment_Master!S50</f>
        <v>0.33259576132521496</v>
      </c>
      <c r="G50" s="20">
        <f>Investment_Master!T50</f>
        <v>0.25</v>
      </c>
      <c r="H50" s="20">
        <f>Investment_Master!U50</f>
        <v>8.2595761325214956E-2</v>
      </c>
      <c r="I50" s="17" t="str">
        <f>Investment_Master!AH50</f>
        <v>Significantly Above Target</v>
      </c>
      <c r="J50" s="17" t="str">
        <f>Investment_Master!AB50</f>
        <v>Good</v>
      </c>
      <c r="K50" s="17" t="str">
        <f>Investment_Master!AC50</f>
        <v>Increase / Scale</v>
      </c>
    </row>
    <row r="51" spans="1:11" ht="15" customHeight="1" x14ac:dyDescent="0.25">
      <c r="A51" s="17" t="str">
        <f>Investment_Master!A51</f>
        <v>INV-047</v>
      </c>
      <c r="B51" s="17" t="str">
        <f>Investment_Master!B51</f>
        <v>Leadership Development – South</v>
      </c>
      <c r="C51" s="17" t="str">
        <f>Investment_Master!C51</f>
        <v>Training</v>
      </c>
      <c r="D51" s="17" t="str">
        <f>Investment_Master!D51</f>
        <v>Product</v>
      </c>
      <c r="E51" s="19">
        <f>Investment_Master!J51</f>
        <v>2590000</v>
      </c>
      <c r="F51" s="20">
        <f>Investment_Master!S51</f>
        <v>2.7599303969155107E-3</v>
      </c>
      <c r="G51" s="20">
        <f>Investment_Master!T51</f>
        <v>0.15</v>
      </c>
      <c r="H51" s="20">
        <f>Investment_Master!U51</f>
        <v>-0.14724006960308447</v>
      </c>
      <c r="I51" s="17" t="str">
        <f>Investment_Master!AH51</f>
        <v>Significantly Below Target</v>
      </c>
      <c r="J51" s="17" t="str">
        <f>Investment_Master!AB51</f>
        <v>Underperforming</v>
      </c>
      <c r="K51" s="17" t="str">
        <f>Investment_Master!AC51</f>
        <v>Review / Restructure</v>
      </c>
    </row>
    <row r="52" spans="1:11" ht="15" customHeight="1" x14ac:dyDescent="0.25">
      <c r="A52" s="17" t="str">
        <f>Investment_Master!A52</f>
        <v>INV-048</v>
      </c>
      <c r="B52" s="17" t="str">
        <f>Investment_Master!B52</f>
        <v>Plant Utility Upgrade – West</v>
      </c>
      <c r="C52" s="17" t="str">
        <f>Investment_Master!C52</f>
        <v>Infrastructure</v>
      </c>
      <c r="D52" s="17" t="str">
        <f>Investment_Master!D52</f>
        <v>Marketing</v>
      </c>
      <c r="E52" s="19">
        <f>Investment_Master!J52</f>
        <v>18450000</v>
      </c>
      <c r="F52" s="20">
        <f>Investment_Master!S52</f>
        <v>0.12894852582579402</v>
      </c>
      <c r="G52" s="20">
        <f>Investment_Master!T52</f>
        <v>0.13</v>
      </c>
      <c r="H52" s="20">
        <f>Investment_Master!U52</f>
        <v>-1.0514741742059797E-3</v>
      </c>
      <c r="I52" s="17" t="str">
        <f>Investment_Master!AH52</f>
        <v>On Target</v>
      </c>
      <c r="J52" s="17" t="str">
        <f>Investment_Master!AB52</f>
        <v>Watch</v>
      </c>
      <c r="K52" s="17" t="str">
        <f>Investment_Master!AC52</f>
        <v>Review / Restructure</v>
      </c>
    </row>
    <row r="53" spans="1:11" ht="15" customHeight="1" x14ac:dyDescent="0.25">
      <c r="A53" s="17" t="str">
        <f>Investment_Master!A53</f>
        <v>INV-049</v>
      </c>
      <c r="B53" s="17" t="str">
        <f>Investment_Master!B53</f>
        <v>ERP Cloud Migration – North</v>
      </c>
      <c r="C53" s="17" t="str">
        <f>Investment_Master!C53</f>
        <v>Technology</v>
      </c>
      <c r="D53" s="17" t="str">
        <f>Investment_Master!D53</f>
        <v>HR</v>
      </c>
      <c r="E53" s="19">
        <f>Investment_Master!J53</f>
        <v>16470000</v>
      </c>
      <c r="F53" s="20">
        <f>Investment_Master!S53</f>
        <v>0.22512277121603688</v>
      </c>
      <c r="G53" s="20">
        <f>Investment_Master!T53</f>
        <v>0.2</v>
      </c>
      <c r="H53" s="20">
        <f>Investment_Master!U53</f>
        <v>2.5122771216036871E-2</v>
      </c>
      <c r="I53" s="17" t="str">
        <f>Investment_Master!AH53</f>
        <v>Above Target</v>
      </c>
      <c r="J53" s="17" t="str">
        <f>Investment_Master!AB53</f>
        <v>Watch</v>
      </c>
      <c r="K53" s="17" t="str">
        <f>Investment_Master!AC53</f>
        <v>Review / Restructure</v>
      </c>
    </row>
    <row r="54" spans="1:11" ht="15" customHeight="1" x14ac:dyDescent="0.25">
      <c r="A54" s="17" t="str">
        <f>Investment_Master!A54</f>
        <v>INV-050</v>
      </c>
      <c r="B54" s="17" t="str">
        <f>Investment_Master!B54</f>
        <v>Brand Repositioning – East</v>
      </c>
      <c r="C54" s="17" t="str">
        <f>Investment_Master!C54</f>
        <v>Marketing</v>
      </c>
      <c r="D54" s="17" t="str">
        <f>Investment_Master!D54</f>
        <v>Supply Chain</v>
      </c>
      <c r="E54" s="19">
        <f>Investment_Master!J54</f>
        <v>12120000</v>
      </c>
      <c r="F54" s="20">
        <f>Investment_Master!S54</f>
        <v>5.1337095977568983E-2</v>
      </c>
      <c r="G54" s="20">
        <f>Investment_Master!T54</f>
        <v>0.22</v>
      </c>
      <c r="H54" s="20">
        <f>Investment_Master!U54</f>
        <v>-0.168662904022431</v>
      </c>
      <c r="I54" s="17" t="str">
        <f>Investment_Master!AH54</f>
        <v>Significantly Below Target</v>
      </c>
      <c r="J54" s="17" t="str">
        <f>Investment_Master!AB54</f>
        <v>Underperforming</v>
      </c>
      <c r="K54" s="17" t="str">
        <f>Investment_Master!AC54</f>
        <v>Review / Restructure</v>
      </c>
    </row>
    <row r="55" spans="1:11" ht="15" customHeight="1" x14ac:dyDescent="0.25">
      <c r="A55" s="17" t="str">
        <f>Investment_Master!A55</f>
        <v>INV-051</v>
      </c>
      <c r="B55" s="17" t="str">
        <f>Investment_Master!B55</f>
        <v>Premium Product Line – Central</v>
      </c>
      <c r="C55" s="17" t="str">
        <f>Investment_Master!C55</f>
        <v>Product Development</v>
      </c>
      <c r="D55" s="17" t="str">
        <f>Investment_Master!D55</f>
        <v>Operations</v>
      </c>
      <c r="E55" s="19">
        <f>Investment_Master!J55</f>
        <v>23560000</v>
      </c>
      <c r="F55" s="20">
        <f>Investment_Master!S55</f>
        <v>0.14109803563256848</v>
      </c>
      <c r="G55" s="20">
        <f>Investment_Master!T55</f>
        <v>0.24</v>
      </c>
      <c r="H55" s="20">
        <f>Investment_Master!U55</f>
        <v>-9.8901964367431511E-2</v>
      </c>
      <c r="I55" s="17" t="str">
        <f>Investment_Master!AH55</f>
        <v>Significantly Below Target</v>
      </c>
      <c r="J55" s="17" t="str">
        <f>Investment_Master!AB55</f>
        <v>Underperforming</v>
      </c>
      <c r="K55" s="17" t="str">
        <f>Investment_Master!AC55</f>
        <v>Review / Restructure</v>
      </c>
    </row>
    <row r="56" spans="1:11" ht="15" customHeight="1" x14ac:dyDescent="0.25">
      <c r="A56" s="17" t="str">
        <f>Investment_Master!A56</f>
        <v>INV-052</v>
      </c>
      <c r="B56" s="17" t="str">
        <f>Investment_Master!B56</f>
        <v>Tier-2 City Expansion – South</v>
      </c>
      <c r="C56" s="17" t="str">
        <f>Investment_Master!C56</f>
        <v>Expansion</v>
      </c>
      <c r="D56" s="17" t="str">
        <f>Investment_Master!D56</f>
        <v>Finance</v>
      </c>
      <c r="E56" s="19">
        <f>Investment_Master!J56</f>
        <v>47240000</v>
      </c>
      <c r="F56" s="20">
        <f>Investment_Master!S56</f>
        <v>0.19338337877604347</v>
      </c>
      <c r="G56" s="20">
        <f>Investment_Master!T56</f>
        <v>0.18</v>
      </c>
      <c r="H56" s="20">
        <f>Investment_Master!U56</f>
        <v>1.3383378776043481E-2</v>
      </c>
      <c r="I56" s="17" t="str">
        <f>Investment_Master!AH56</f>
        <v>On Target</v>
      </c>
      <c r="J56" s="17" t="str">
        <f>Investment_Master!AB56</f>
        <v>Watch</v>
      </c>
      <c r="K56" s="17" t="str">
        <f>Investment_Master!AC56</f>
        <v>Review / Restructure</v>
      </c>
    </row>
    <row r="57" spans="1:11" ht="15" customHeight="1" x14ac:dyDescent="0.25">
      <c r="A57" s="17" t="str">
        <f>Investment_Master!A57</f>
        <v>INV-053</v>
      </c>
      <c r="B57" s="17" t="str">
        <f>Investment_Master!B57</f>
        <v>Automated Packaging Line – West</v>
      </c>
      <c r="C57" s="17" t="str">
        <f>Investment_Master!C57</f>
        <v>Equipment</v>
      </c>
      <c r="D57" s="17" t="str">
        <f>Investment_Master!D57</f>
        <v>Sales</v>
      </c>
      <c r="E57" s="19">
        <f>Investment_Master!J57</f>
        <v>30060000</v>
      </c>
      <c r="F57" s="20">
        <f>Investment_Master!S57</f>
        <v>0.20079185658831022</v>
      </c>
      <c r="G57" s="20">
        <f>Investment_Master!T57</f>
        <v>0.17</v>
      </c>
      <c r="H57" s="20">
        <f>Investment_Master!U57</f>
        <v>3.0791856588310212E-2</v>
      </c>
      <c r="I57" s="17" t="str">
        <f>Investment_Master!AH57</f>
        <v>Above Target</v>
      </c>
      <c r="J57" s="17" t="str">
        <f>Investment_Master!AB57</f>
        <v>Watch</v>
      </c>
      <c r="K57" s="17" t="str">
        <f>Investment_Master!AC57</f>
        <v>Review / Restructure</v>
      </c>
    </row>
    <row r="58" spans="1:11" ht="15" customHeight="1" x14ac:dyDescent="0.25">
      <c r="A58" s="17" t="str">
        <f>Investment_Master!A58</f>
        <v>INV-054</v>
      </c>
      <c r="B58" s="17" t="str">
        <f>Investment_Master!B58</f>
        <v>RPA Finance Rollout – North</v>
      </c>
      <c r="C58" s="17" t="str">
        <f>Investment_Master!C58</f>
        <v>Automation</v>
      </c>
      <c r="D58" s="17" t="str">
        <f>Investment_Master!D58</f>
        <v>IT</v>
      </c>
      <c r="E58" s="19">
        <f>Investment_Master!J58</f>
        <v>31570000</v>
      </c>
      <c r="F58" s="20">
        <f>Investment_Master!S58</f>
        <v>0.23473056949137708</v>
      </c>
      <c r="G58" s="20">
        <f>Investment_Master!T58</f>
        <v>0.25</v>
      </c>
      <c r="H58" s="20">
        <f>Investment_Master!U58</f>
        <v>-1.5269430508622922E-2</v>
      </c>
      <c r="I58" s="17" t="str">
        <f>Investment_Master!AH58</f>
        <v>Below Target</v>
      </c>
      <c r="J58" s="17" t="str">
        <f>Investment_Master!AB58</f>
        <v>Watch</v>
      </c>
      <c r="K58" s="17" t="str">
        <f>Investment_Master!AC58</f>
        <v>Review / Restructure</v>
      </c>
    </row>
    <row r="59" spans="1:11" ht="15" customHeight="1" x14ac:dyDescent="0.25">
      <c r="A59" s="17" t="str">
        <f>Investment_Master!A59</f>
        <v>INV-055</v>
      </c>
      <c r="B59" s="17" t="str">
        <f>Investment_Master!B59</f>
        <v>Leadership Development – East</v>
      </c>
      <c r="C59" s="17" t="str">
        <f>Investment_Master!C59</f>
        <v>Training</v>
      </c>
      <c r="D59" s="17" t="str">
        <f>Investment_Master!D59</f>
        <v>Product</v>
      </c>
      <c r="E59" s="19">
        <f>Investment_Master!J59</f>
        <v>7880000</v>
      </c>
      <c r="F59" s="20">
        <f>Investment_Master!S59</f>
        <v>-1.6474706646282967E-2</v>
      </c>
      <c r="G59" s="20">
        <f>Investment_Master!T59</f>
        <v>0.15</v>
      </c>
      <c r="H59" s="20">
        <f>Investment_Master!U59</f>
        <v>-0.16647470664628297</v>
      </c>
      <c r="I59" s="17" t="str">
        <f>Investment_Master!AH59</f>
        <v>Significantly Below Target</v>
      </c>
      <c r="J59" s="17" t="str">
        <f>Investment_Master!AB59</f>
        <v>Underperforming</v>
      </c>
      <c r="K59" s="17" t="str">
        <f>Investment_Master!AC59</f>
        <v>Review / Restructure</v>
      </c>
    </row>
    <row r="60" spans="1:11" ht="15" customHeight="1" x14ac:dyDescent="0.25">
      <c r="A60" s="17" t="str">
        <f>Investment_Master!A60</f>
        <v>INV-056</v>
      </c>
      <c r="B60" s="17" t="str">
        <f>Investment_Master!B60</f>
        <v>Plant Utility Upgrade – Central</v>
      </c>
      <c r="C60" s="17" t="str">
        <f>Investment_Master!C60</f>
        <v>Infrastructure</v>
      </c>
      <c r="D60" s="17" t="str">
        <f>Investment_Master!D60</f>
        <v>Marketing</v>
      </c>
      <c r="E60" s="19">
        <f>Investment_Master!J60</f>
        <v>59340000</v>
      </c>
      <c r="F60" s="20">
        <f>Investment_Master!S60</f>
        <v>-3.0828735407646512E-3</v>
      </c>
      <c r="G60" s="20">
        <f>Investment_Master!T60</f>
        <v>0.13</v>
      </c>
      <c r="H60" s="20">
        <f>Investment_Master!U60</f>
        <v>-0.13308287354076465</v>
      </c>
      <c r="I60" s="17" t="str">
        <f>Investment_Master!AH60</f>
        <v>Significantly Below Target</v>
      </c>
      <c r="J60" s="17" t="str">
        <f>Investment_Master!AB60</f>
        <v>Underperforming</v>
      </c>
      <c r="K60" s="17" t="str">
        <f>Investment_Master!AC60</f>
        <v>Review / Restructure</v>
      </c>
    </row>
    <row r="61" spans="1:11" ht="15" customHeight="1" x14ac:dyDescent="0.25">
      <c r="A61" s="17" t="str">
        <f>Investment_Master!A61</f>
        <v>INV-057</v>
      </c>
      <c r="B61" s="17" t="str">
        <f>Investment_Master!B61</f>
        <v>ERP Cloud Migration – South</v>
      </c>
      <c r="C61" s="17" t="str">
        <f>Investment_Master!C61</f>
        <v>Technology</v>
      </c>
      <c r="D61" s="17" t="str">
        <f>Investment_Master!D61</f>
        <v>HR</v>
      </c>
      <c r="E61" s="19">
        <f>Investment_Master!J61</f>
        <v>13950000</v>
      </c>
      <c r="F61" s="20">
        <f>Investment_Master!S61</f>
        <v>0.18102690391511994</v>
      </c>
      <c r="G61" s="20">
        <f>Investment_Master!T61</f>
        <v>0.2</v>
      </c>
      <c r="H61" s="20">
        <f>Investment_Master!U61</f>
        <v>-1.897309608488007E-2</v>
      </c>
      <c r="I61" s="17" t="str">
        <f>Investment_Master!AH61</f>
        <v>Below Target</v>
      </c>
      <c r="J61" s="17" t="str">
        <f>Investment_Master!AB61</f>
        <v>Watch</v>
      </c>
      <c r="K61" s="17" t="str">
        <f>Investment_Master!AC61</f>
        <v>Review / Restructure</v>
      </c>
    </row>
    <row r="62" spans="1:11" ht="15" customHeight="1" x14ac:dyDescent="0.25">
      <c r="A62" s="17" t="str">
        <f>Investment_Master!A62</f>
        <v>INV-058</v>
      </c>
      <c r="B62" s="17" t="str">
        <f>Investment_Master!B62</f>
        <v>Brand Repositioning – West</v>
      </c>
      <c r="C62" s="17" t="str">
        <f>Investment_Master!C62</f>
        <v>Marketing</v>
      </c>
      <c r="D62" s="17" t="str">
        <f>Investment_Master!D62</f>
        <v>Supply Chain</v>
      </c>
      <c r="E62" s="19">
        <f>Investment_Master!J62</f>
        <v>5930000</v>
      </c>
      <c r="F62" s="20">
        <f>Investment_Master!S62</f>
        <v>0.14733771611338836</v>
      </c>
      <c r="G62" s="20">
        <f>Investment_Master!T62</f>
        <v>0.22</v>
      </c>
      <c r="H62" s="20">
        <f>Investment_Master!U62</f>
        <v>-7.2662283886611639E-2</v>
      </c>
      <c r="I62" s="17" t="str">
        <f>Investment_Master!AH62</f>
        <v>Significantly Below Target</v>
      </c>
      <c r="J62" s="17" t="str">
        <f>Investment_Master!AB62</f>
        <v>Watch</v>
      </c>
      <c r="K62" s="17" t="str">
        <f>Investment_Master!AC62</f>
        <v>Review / Restructure</v>
      </c>
    </row>
    <row r="63" spans="1:11" ht="15" customHeight="1" x14ac:dyDescent="0.25">
      <c r="A63" s="17" t="str">
        <f>Investment_Master!A63</f>
        <v>INV-059</v>
      </c>
      <c r="B63" s="17" t="str">
        <f>Investment_Master!B63</f>
        <v>Premium Product Line – North</v>
      </c>
      <c r="C63" s="17" t="str">
        <f>Investment_Master!C63</f>
        <v>Product Development</v>
      </c>
      <c r="D63" s="17" t="str">
        <f>Investment_Master!D63</f>
        <v>Operations</v>
      </c>
      <c r="E63" s="19">
        <f>Investment_Master!J63</f>
        <v>24080000</v>
      </c>
      <c r="F63" s="20">
        <f>Investment_Master!S63</f>
        <v>-4.8657736780914319E-2</v>
      </c>
      <c r="G63" s="20">
        <f>Investment_Master!T63</f>
        <v>0.24</v>
      </c>
      <c r="H63" s="20">
        <f>Investment_Master!U63</f>
        <v>-0.28865773678091433</v>
      </c>
      <c r="I63" s="17" t="str">
        <f>Investment_Master!AH63</f>
        <v>Significantly Below Target</v>
      </c>
      <c r="J63" s="17" t="str">
        <f>Investment_Master!AB63</f>
        <v>Underperforming</v>
      </c>
      <c r="K63" s="17" t="str">
        <f>Investment_Master!AC63</f>
        <v>Review / Restructure</v>
      </c>
    </row>
    <row r="64" spans="1:11" ht="15" customHeight="1" x14ac:dyDescent="0.25">
      <c r="A64" s="17" t="str">
        <f>Investment_Master!A64</f>
        <v>INV-060</v>
      </c>
      <c r="B64" s="17" t="str">
        <f>Investment_Master!B64</f>
        <v>Tier-2 City Expansion – East</v>
      </c>
      <c r="C64" s="17" t="str">
        <f>Investment_Master!C64</f>
        <v>Expansion</v>
      </c>
      <c r="D64" s="17" t="str">
        <f>Investment_Master!D64</f>
        <v>Finance</v>
      </c>
      <c r="E64" s="19">
        <f>Investment_Master!J64</f>
        <v>41450000</v>
      </c>
      <c r="F64" s="20">
        <f>Investment_Master!S64</f>
        <v>0.10394126684275518</v>
      </c>
      <c r="G64" s="20">
        <f>Investment_Master!T64</f>
        <v>0.18</v>
      </c>
      <c r="H64" s="20">
        <f>Investment_Master!U64</f>
        <v>-7.6058733157244818E-2</v>
      </c>
      <c r="I64" s="17" t="str">
        <f>Investment_Master!AH64</f>
        <v>Significantly Below Target</v>
      </c>
      <c r="J64" s="17" t="str">
        <f>Investment_Master!AB64</f>
        <v>Watch</v>
      </c>
      <c r="K64" s="17" t="str">
        <f>Investment_Master!AC64</f>
        <v>Review / Restructure</v>
      </c>
    </row>
    <row r="65" spans="1:11" ht="15" customHeight="1" x14ac:dyDescent="0.25">
      <c r="A65" s="17" t="str">
        <f>Investment_Master!A65</f>
        <v>INV-061</v>
      </c>
      <c r="B65" s="17" t="str">
        <f>Investment_Master!B65</f>
        <v>Automated Packaging Line – Central</v>
      </c>
      <c r="C65" s="17" t="str">
        <f>Investment_Master!C65</f>
        <v>Equipment</v>
      </c>
      <c r="D65" s="17" t="str">
        <f>Investment_Master!D65</f>
        <v>Sales</v>
      </c>
      <c r="E65" s="19">
        <f>Investment_Master!J65</f>
        <v>43790000</v>
      </c>
      <c r="F65" s="20">
        <f>Investment_Master!S65</f>
        <v>0.19108369086068833</v>
      </c>
      <c r="G65" s="20">
        <f>Investment_Master!T65</f>
        <v>0.17</v>
      </c>
      <c r="H65" s="20">
        <f>Investment_Master!U65</f>
        <v>2.1083690860688314E-2</v>
      </c>
      <c r="I65" s="17" t="str">
        <f>Investment_Master!AH65</f>
        <v>Above Target</v>
      </c>
      <c r="J65" s="17" t="str">
        <f>Investment_Master!AB65</f>
        <v>Watch</v>
      </c>
      <c r="K65" s="17" t="str">
        <f>Investment_Master!AC65</f>
        <v>Review / Restructure</v>
      </c>
    </row>
    <row r="66" spans="1:11" ht="15" customHeight="1" x14ac:dyDescent="0.25">
      <c r="A66" s="17" t="str">
        <f>Investment_Master!A66</f>
        <v>INV-062</v>
      </c>
      <c r="B66" s="17" t="str">
        <f>Investment_Master!B66</f>
        <v>RPA Finance Rollout – South</v>
      </c>
      <c r="C66" s="17" t="str">
        <f>Investment_Master!C66</f>
        <v>Automation</v>
      </c>
      <c r="D66" s="17" t="str">
        <f>Investment_Master!D66</f>
        <v>IT</v>
      </c>
      <c r="E66" s="19">
        <f>Investment_Master!J66</f>
        <v>13470000</v>
      </c>
      <c r="F66" s="20">
        <f>Investment_Master!S66</f>
        <v>0.16720831196354127</v>
      </c>
      <c r="G66" s="20">
        <f>Investment_Master!T66</f>
        <v>0.25</v>
      </c>
      <c r="H66" s="20">
        <f>Investment_Master!U66</f>
        <v>-8.2791688036458727E-2</v>
      </c>
      <c r="I66" s="17" t="str">
        <f>Investment_Master!AH66</f>
        <v>Significantly Below Target</v>
      </c>
      <c r="J66" s="17" t="str">
        <f>Investment_Master!AB66</f>
        <v>Watch</v>
      </c>
      <c r="K66" s="17" t="str">
        <f>Investment_Master!AC66</f>
        <v>Review / Restructure</v>
      </c>
    </row>
    <row r="67" spans="1:11" ht="15" customHeight="1" x14ac:dyDescent="0.25">
      <c r="A67" s="17" t="str">
        <f>Investment_Master!A67</f>
        <v>INV-063</v>
      </c>
      <c r="B67" s="17" t="str">
        <f>Investment_Master!B67</f>
        <v>Leadership Development – West</v>
      </c>
      <c r="C67" s="17" t="str">
        <f>Investment_Master!C67</f>
        <v>Training</v>
      </c>
      <c r="D67" s="17" t="str">
        <f>Investment_Master!D67</f>
        <v>Product</v>
      </c>
      <c r="E67" s="19">
        <f>Investment_Master!J67</f>
        <v>7950000</v>
      </c>
      <c r="F67" s="20">
        <f>Investment_Master!S67</f>
        <v>-3.245991331445159E-2</v>
      </c>
      <c r="G67" s="20">
        <f>Investment_Master!T67</f>
        <v>0.15</v>
      </c>
      <c r="H67" s="20">
        <f>Investment_Master!U67</f>
        <v>-0.18245991331445158</v>
      </c>
      <c r="I67" s="17" t="str">
        <f>Investment_Master!AH67</f>
        <v>Significantly Below Target</v>
      </c>
      <c r="J67" s="17" t="str">
        <f>Investment_Master!AB67</f>
        <v>Underperforming</v>
      </c>
      <c r="K67" s="17" t="str">
        <f>Investment_Master!AC67</f>
        <v>Review / Restructure</v>
      </c>
    </row>
    <row r="68" spans="1:11" ht="15" customHeight="1" x14ac:dyDescent="0.25">
      <c r="A68" s="17" t="str">
        <f>Investment_Master!A68</f>
        <v>INV-064</v>
      </c>
      <c r="B68" s="17" t="str">
        <f>Investment_Master!B68</f>
        <v>Plant Utility Upgrade – North</v>
      </c>
      <c r="C68" s="17" t="str">
        <f>Investment_Master!C68</f>
        <v>Infrastructure</v>
      </c>
      <c r="D68" s="17" t="str">
        <f>Investment_Master!D68</f>
        <v>Marketing</v>
      </c>
      <c r="E68" s="19">
        <f>Investment_Master!J68</f>
        <v>39160000</v>
      </c>
      <c r="F68" s="20">
        <f>Investment_Master!S68</f>
        <v>0.14270327029306218</v>
      </c>
      <c r="G68" s="20">
        <f>Investment_Master!T68</f>
        <v>0.13</v>
      </c>
      <c r="H68" s="20">
        <f>Investment_Master!U68</f>
        <v>1.2703270293062174E-2</v>
      </c>
      <c r="I68" s="17" t="str">
        <f>Investment_Master!AH68</f>
        <v>On Target</v>
      </c>
      <c r="J68" s="17" t="str">
        <f>Investment_Master!AB68</f>
        <v>Watch</v>
      </c>
      <c r="K68" s="17" t="str">
        <f>Investment_Master!AC68</f>
        <v>Review / Restructure</v>
      </c>
    </row>
    <row r="69" spans="1:11" ht="15" customHeight="1" x14ac:dyDescent="0.25">
      <c r="A69" s="17" t="str">
        <f>Investment_Master!A69</f>
        <v>INV-065</v>
      </c>
      <c r="B69" s="17" t="str">
        <f>Investment_Master!B69</f>
        <v>ERP Cloud Migration – East</v>
      </c>
      <c r="C69" s="17" t="str">
        <f>Investment_Master!C69</f>
        <v>Technology</v>
      </c>
      <c r="D69" s="17" t="str">
        <f>Investment_Master!D69</f>
        <v>HR</v>
      </c>
      <c r="E69" s="19">
        <f>Investment_Master!J69</f>
        <v>35300000</v>
      </c>
      <c r="F69" s="20">
        <f>Investment_Master!S69</f>
        <v>0.17079999280711514</v>
      </c>
      <c r="G69" s="20">
        <f>Investment_Master!T69</f>
        <v>0.2</v>
      </c>
      <c r="H69" s="20">
        <f>Investment_Master!U69</f>
        <v>-2.9200007192884875E-2</v>
      </c>
      <c r="I69" s="17" t="str">
        <f>Investment_Master!AH69</f>
        <v>Below Target</v>
      </c>
      <c r="J69" s="17" t="str">
        <f>Investment_Master!AB69</f>
        <v>Watch</v>
      </c>
      <c r="K69" s="17" t="str">
        <f>Investment_Master!AC69</f>
        <v>Review / Restructure</v>
      </c>
    </row>
    <row r="70" spans="1:11" ht="15" customHeight="1" x14ac:dyDescent="0.25">
      <c r="A70" s="17" t="str">
        <f>Investment_Master!A70</f>
        <v>INV-066</v>
      </c>
      <c r="B70" s="17" t="str">
        <f>Investment_Master!B70</f>
        <v>Brand Repositioning – Central</v>
      </c>
      <c r="C70" s="17" t="str">
        <f>Investment_Master!C70</f>
        <v>Marketing</v>
      </c>
      <c r="D70" s="17" t="str">
        <f>Investment_Master!D70</f>
        <v>Supply Chain</v>
      </c>
      <c r="E70" s="19">
        <f>Investment_Master!J70</f>
        <v>14560000</v>
      </c>
      <c r="F70" s="20">
        <f>Investment_Master!S70</f>
        <v>0.19884031898922255</v>
      </c>
      <c r="G70" s="20">
        <f>Investment_Master!T70</f>
        <v>0.22</v>
      </c>
      <c r="H70" s="20">
        <f>Investment_Master!U70</f>
        <v>-2.1159681010777448E-2</v>
      </c>
      <c r="I70" s="17" t="str">
        <f>Investment_Master!AH70</f>
        <v>Below Target</v>
      </c>
      <c r="J70" s="17" t="str">
        <f>Investment_Master!AB70</f>
        <v>Watch</v>
      </c>
      <c r="K70" s="17" t="str">
        <f>Investment_Master!AC70</f>
        <v>Review / Restructure</v>
      </c>
    </row>
    <row r="71" spans="1:11" ht="15" customHeight="1" x14ac:dyDescent="0.25">
      <c r="A71" s="17" t="str">
        <f>Investment_Master!A71</f>
        <v>INV-067</v>
      </c>
      <c r="B71" s="17" t="str">
        <f>Investment_Master!B71</f>
        <v>Premium Product Line – South</v>
      </c>
      <c r="C71" s="17" t="str">
        <f>Investment_Master!C71</f>
        <v>Product Development</v>
      </c>
      <c r="D71" s="17" t="str">
        <f>Investment_Master!D71</f>
        <v>Operations</v>
      </c>
      <c r="E71" s="19">
        <f>Investment_Master!J71</f>
        <v>44730000</v>
      </c>
      <c r="F71" s="20">
        <f>Investment_Master!S71</f>
        <v>7.6659095027279245E-2</v>
      </c>
      <c r="G71" s="20">
        <f>Investment_Master!T71</f>
        <v>0.24</v>
      </c>
      <c r="H71" s="20">
        <f>Investment_Master!U71</f>
        <v>-0.16334090497272075</v>
      </c>
      <c r="I71" s="17" t="str">
        <f>Investment_Master!AH71</f>
        <v>Significantly Below Target</v>
      </c>
      <c r="J71" s="17" t="str">
        <f>Investment_Master!AB71</f>
        <v>Underperforming</v>
      </c>
      <c r="K71" s="17" t="str">
        <f>Investment_Master!AC71</f>
        <v>Review / Restructure</v>
      </c>
    </row>
    <row r="72" spans="1:11" ht="15" customHeight="1" x14ac:dyDescent="0.25">
      <c r="A72" s="17" t="str">
        <f>Investment_Master!A72</f>
        <v>INV-068</v>
      </c>
      <c r="B72" s="17" t="str">
        <f>Investment_Master!B72</f>
        <v>Tier-2 City Expansion – West</v>
      </c>
      <c r="C72" s="17" t="str">
        <f>Investment_Master!C72</f>
        <v>Expansion</v>
      </c>
      <c r="D72" s="17" t="str">
        <f>Investment_Master!D72</f>
        <v>Finance</v>
      </c>
      <c r="E72" s="19">
        <f>Investment_Master!J72</f>
        <v>40500000</v>
      </c>
      <c r="F72" s="20">
        <f>Investment_Master!S72</f>
        <v>0.18785820554481411</v>
      </c>
      <c r="G72" s="20">
        <f>Investment_Master!T72</f>
        <v>0.18</v>
      </c>
      <c r="H72" s="20">
        <f>Investment_Master!U72</f>
        <v>7.8582055448141175E-3</v>
      </c>
      <c r="I72" s="17" t="str">
        <f>Investment_Master!AH72</f>
        <v>On Target</v>
      </c>
      <c r="J72" s="17" t="str">
        <f>Investment_Master!AB72</f>
        <v>Watch</v>
      </c>
      <c r="K72" s="17" t="str">
        <f>Investment_Master!AC72</f>
        <v>Review / Restructure</v>
      </c>
    </row>
    <row r="73" spans="1:11" ht="15" customHeight="1" x14ac:dyDescent="0.25">
      <c r="A73" s="17" t="str">
        <f>Investment_Master!A73</f>
        <v>INV-069</v>
      </c>
      <c r="B73" s="17" t="str">
        <f>Investment_Master!B73</f>
        <v>Automated Packaging Line – North</v>
      </c>
      <c r="C73" s="17" t="str">
        <f>Investment_Master!C73</f>
        <v>Equipment</v>
      </c>
      <c r="D73" s="17" t="str">
        <f>Investment_Master!D73</f>
        <v>Sales</v>
      </c>
      <c r="E73" s="19">
        <f>Investment_Master!J73</f>
        <v>23270000</v>
      </c>
      <c r="F73" s="20">
        <f>Investment_Master!S73</f>
        <v>0.24759923832155653</v>
      </c>
      <c r="G73" s="20">
        <f>Investment_Master!T73</f>
        <v>0.17</v>
      </c>
      <c r="H73" s="20">
        <f>Investment_Master!U73</f>
        <v>7.7599238321556518E-2</v>
      </c>
      <c r="I73" s="17" t="str">
        <f>Investment_Master!AH73</f>
        <v>Significantly Above Target</v>
      </c>
      <c r="J73" s="17" t="str">
        <f>Investment_Master!AB73</f>
        <v>Watch</v>
      </c>
      <c r="K73" s="17" t="str">
        <f>Investment_Master!AC73</f>
        <v>Review / Restructure</v>
      </c>
    </row>
    <row r="74" spans="1:11" ht="15" customHeight="1" x14ac:dyDescent="0.25">
      <c r="A74" s="17" t="str">
        <f>Investment_Master!A74</f>
        <v>INV-070</v>
      </c>
      <c r="B74" s="17" t="str">
        <f>Investment_Master!B74</f>
        <v>RPA Finance Rollout – East</v>
      </c>
      <c r="C74" s="17" t="str">
        <f>Investment_Master!C74</f>
        <v>Automation</v>
      </c>
      <c r="D74" s="17" t="str">
        <f>Investment_Master!D74</f>
        <v>IT</v>
      </c>
      <c r="E74" s="19">
        <f>Investment_Master!J74</f>
        <v>30070000</v>
      </c>
      <c r="F74" s="20">
        <f>Investment_Master!S74</f>
        <v>0.15781227817980278</v>
      </c>
      <c r="G74" s="20">
        <f>Investment_Master!T74</f>
        <v>0.25</v>
      </c>
      <c r="H74" s="20">
        <f>Investment_Master!U74</f>
        <v>-9.2187721820197216E-2</v>
      </c>
      <c r="I74" s="17" t="str">
        <f>Investment_Master!AH74</f>
        <v>Significantly Below Target</v>
      </c>
      <c r="J74" s="17" t="str">
        <f>Investment_Master!AB74</f>
        <v>Watch</v>
      </c>
      <c r="K74" s="17" t="str">
        <f>Investment_Master!AC74</f>
        <v>Review / Restructure</v>
      </c>
    </row>
    <row r="75" spans="1:11" ht="15" customHeight="1" x14ac:dyDescent="0.25">
      <c r="A75" s="17" t="str">
        <f>Investment_Master!A75</f>
        <v>INV-071</v>
      </c>
      <c r="B75" s="17" t="str">
        <f>Investment_Master!B75</f>
        <v>Leadership Development – Central</v>
      </c>
      <c r="C75" s="17" t="str">
        <f>Investment_Master!C75</f>
        <v>Training</v>
      </c>
      <c r="D75" s="17" t="str">
        <f>Investment_Master!D75</f>
        <v>Product</v>
      </c>
      <c r="E75" s="19">
        <f>Investment_Master!J75</f>
        <v>9280000</v>
      </c>
      <c r="F75" s="20">
        <f>Investment_Master!S75</f>
        <v>-1.4746645843265136E-2</v>
      </c>
      <c r="G75" s="20">
        <f>Investment_Master!T75</f>
        <v>0.15</v>
      </c>
      <c r="H75" s="20">
        <f>Investment_Master!U75</f>
        <v>-0.16474664584326512</v>
      </c>
      <c r="I75" s="17" t="str">
        <f>Investment_Master!AH75</f>
        <v>Significantly Below Target</v>
      </c>
      <c r="J75" s="17" t="str">
        <f>Investment_Master!AB75</f>
        <v>Underperforming</v>
      </c>
      <c r="K75" s="17" t="str">
        <f>Investment_Master!AC75</f>
        <v>Review / Restructure</v>
      </c>
    </row>
    <row r="76" spans="1:11" ht="15" customHeight="1" x14ac:dyDescent="0.25">
      <c r="A76" s="17" t="str">
        <f>Investment_Master!A76</f>
        <v>INV-072</v>
      </c>
      <c r="B76" s="17" t="str">
        <f>Investment_Master!B76</f>
        <v>Plant Utility Upgrade – South</v>
      </c>
      <c r="C76" s="17" t="str">
        <f>Investment_Master!C76</f>
        <v>Infrastructure</v>
      </c>
      <c r="D76" s="17" t="str">
        <f>Investment_Master!D76</f>
        <v>Marketing</v>
      </c>
      <c r="E76" s="19">
        <f>Investment_Master!J76</f>
        <v>18650000</v>
      </c>
      <c r="F76" s="20">
        <f>Investment_Master!S76</f>
        <v>2.7814760574180704E-2</v>
      </c>
      <c r="G76" s="20">
        <f>Investment_Master!T76</f>
        <v>0.13</v>
      </c>
      <c r="H76" s="20">
        <f>Investment_Master!U76</f>
        <v>-0.10218523942581931</v>
      </c>
      <c r="I76" s="17" t="str">
        <f>Investment_Master!AH76</f>
        <v>Significantly Below Target</v>
      </c>
      <c r="J76" s="17" t="str">
        <f>Investment_Master!AB76</f>
        <v>Underperforming</v>
      </c>
      <c r="K76" s="17" t="str">
        <f>Investment_Master!AC76</f>
        <v>Review / Restructure</v>
      </c>
    </row>
    <row r="77" spans="1:11" ht="15" customHeight="1" x14ac:dyDescent="0.25">
      <c r="A77" s="17" t="str">
        <f>Investment_Master!A77</f>
        <v>INV-073</v>
      </c>
      <c r="B77" s="17" t="str">
        <f>Investment_Master!B77</f>
        <v>ERP Cloud Migration – West</v>
      </c>
      <c r="C77" s="17" t="str">
        <f>Investment_Master!C77</f>
        <v>Technology</v>
      </c>
      <c r="D77" s="17" t="str">
        <f>Investment_Master!D77</f>
        <v>HR</v>
      </c>
      <c r="E77" s="19">
        <f>Investment_Master!J77</f>
        <v>26390000</v>
      </c>
      <c r="F77" s="20">
        <f>Investment_Master!S77</f>
        <v>0.19255062237266266</v>
      </c>
      <c r="G77" s="20">
        <f>Investment_Master!T77</f>
        <v>0.2</v>
      </c>
      <c r="H77" s="20">
        <f>Investment_Master!U77</f>
        <v>-7.4493776273373558E-3</v>
      </c>
      <c r="I77" s="17" t="str">
        <f>Investment_Master!AH77</f>
        <v>On Target</v>
      </c>
      <c r="J77" s="17" t="str">
        <f>Investment_Master!AB77</f>
        <v>Watch</v>
      </c>
      <c r="K77" s="17" t="str">
        <f>Investment_Master!AC77</f>
        <v>Review / Restructure</v>
      </c>
    </row>
    <row r="78" spans="1:11" ht="15" customHeight="1" x14ac:dyDescent="0.25">
      <c r="A78" s="17" t="str">
        <f>Investment_Master!A78</f>
        <v>INV-074</v>
      </c>
      <c r="B78" s="17" t="str">
        <f>Investment_Master!B78</f>
        <v>Brand Repositioning – North</v>
      </c>
      <c r="C78" s="17" t="str">
        <f>Investment_Master!C78</f>
        <v>Marketing</v>
      </c>
      <c r="D78" s="17" t="str">
        <f>Investment_Master!D78</f>
        <v>Supply Chain</v>
      </c>
      <c r="E78" s="19">
        <f>Investment_Master!J78</f>
        <v>16170000</v>
      </c>
      <c r="F78" s="20">
        <f>Investment_Master!S78</f>
        <v>1.6673719639803734E-2</v>
      </c>
      <c r="G78" s="20">
        <f>Investment_Master!T78</f>
        <v>0.22</v>
      </c>
      <c r="H78" s="20">
        <f>Investment_Master!U78</f>
        <v>-0.20332628036019626</v>
      </c>
      <c r="I78" s="17" t="str">
        <f>Investment_Master!AH78</f>
        <v>Significantly Below Target</v>
      </c>
      <c r="J78" s="17" t="str">
        <f>Investment_Master!AB78</f>
        <v>Underperforming</v>
      </c>
      <c r="K78" s="17" t="str">
        <f>Investment_Master!AC78</f>
        <v>Review / Restructure</v>
      </c>
    </row>
    <row r="79" spans="1:11" ht="15" customHeight="1" x14ac:dyDescent="0.25">
      <c r="A79" s="17" t="str">
        <f>Investment_Master!A79</f>
        <v>INV-075</v>
      </c>
      <c r="B79" s="17" t="str">
        <f>Investment_Master!B79</f>
        <v>Premium Product Line – East</v>
      </c>
      <c r="C79" s="17" t="str">
        <f>Investment_Master!C79</f>
        <v>Product Development</v>
      </c>
      <c r="D79" s="17" t="str">
        <f>Investment_Master!D79</f>
        <v>Operations</v>
      </c>
      <c r="E79" s="19">
        <f>Investment_Master!J79</f>
        <v>40210000</v>
      </c>
      <c r="F79" s="20">
        <f>Investment_Master!S79</f>
        <v>6.4471125350909597E-2</v>
      </c>
      <c r="G79" s="20">
        <f>Investment_Master!T79</f>
        <v>0.24</v>
      </c>
      <c r="H79" s="20">
        <f>Investment_Master!U79</f>
        <v>-0.17552887464909039</v>
      </c>
      <c r="I79" s="17" t="str">
        <f>Investment_Master!AH79</f>
        <v>Significantly Below Target</v>
      </c>
      <c r="J79" s="17" t="str">
        <f>Investment_Master!AB79</f>
        <v>Underperforming</v>
      </c>
      <c r="K79" s="17" t="str">
        <f>Investment_Master!AC79</f>
        <v>Review / Restructure</v>
      </c>
    </row>
    <row r="80" spans="1:11" ht="15" customHeight="1" x14ac:dyDescent="0.25">
      <c r="A80" s="17" t="str">
        <f>Investment_Master!A80</f>
        <v>INV-076</v>
      </c>
      <c r="B80" s="17" t="str">
        <f>Investment_Master!B80</f>
        <v>Tier-2 City Expansion – Central</v>
      </c>
      <c r="C80" s="17" t="str">
        <f>Investment_Master!C80</f>
        <v>Expansion</v>
      </c>
      <c r="D80" s="17" t="str">
        <f>Investment_Master!D80</f>
        <v>Finance</v>
      </c>
      <c r="E80" s="19">
        <f>Investment_Master!J80</f>
        <v>44220000</v>
      </c>
      <c r="F80" s="20">
        <f>Investment_Master!S80</f>
        <v>7.7364550187084394E-2</v>
      </c>
      <c r="G80" s="20">
        <f>Investment_Master!T80</f>
        <v>0.18</v>
      </c>
      <c r="H80" s="20">
        <f>Investment_Master!U80</f>
        <v>-0.1026354498129156</v>
      </c>
      <c r="I80" s="17" t="str">
        <f>Investment_Master!AH80</f>
        <v>Significantly Below Target</v>
      </c>
      <c r="J80" s="17" t="str">
        <f>Investment_Master!AB80</f>
        <v>Underperforming</v>
      </c>
      <c r="K80" s="17" t="str">
        <f>Investment_Master!AC80</f>
        <v>Review / Restructure</v>
      </c>
    </row>
    <row r="81" spans="1:11" ht="15" customHeight="1" x14ac:dyDescent="0.25">
      <c r="A81" s="17" t="str">
        <f>Investment_Master!A81</f>
        <v>INV-077</v>
      </c>
      <c r="B81" s="17" t="str">
        <f>Investment_Master!B81</f>
        <v>Automated Packaging Line – South</v>
      </c>
      <c r="C81" s="17" t="str">
        <f>Investment_Master!C81</f>
        <v>Equipment</v>
      </c>
      <c r="D81" s="17" t="str">
        <f>Investment_Master!D81</f>
        <v>Sales</v>
      </c>
      <c r="E81" s="19">
        <f>Investment_Master!J81</f>
        <v>41420000</v>
      </c>
      <c r="F81" s="20">
        <f>Investment_Master!S81</f>
        <v>1.0752813548355654E-2</v>
      </c>
      <c r="G81" s="20">
        <f>Investment_Master!T81</f>
        <v>0.17</v>
      </c>
      <c r="H81" s="20">
        <f>Investment_Master!U81</f>
        <v>-0.15924718645164435</v>
      </c>
      <c r="I81" s="17" t="str">
        <f>Investment_Master!AH81</f>
        <v>Significantly Below Target</v>
      </c>
      <c r="J81" s="17" t="str">
        <f>Investment_Master!AB81</f>
        <v>Underperforming</v>
      </c>
      <c r="K81" s="17" t="str">
        <f>Investment_Master!AC81</f>
        <v>Review / Restructure</v>
      </c>
    </row>
    <row r="82" spans="1:11" ht="15" customHeight="1" x14ac:dyDescent="0.25">
      <c r="A82" s="17" t="str">
        <f>Investment_Master!A82</f>
        <v>INV-078</v>
      </c>
      <c r="B82" s="17" t="str">
        <f>Investment_Master!B82</f>
        <v>RPA Finance Rollout – West</v>
      </c>
      <c r="C82" s="17" t="str">
        <f>Investment_Master!C82</f>
        <v>Automation</v>
      </c>
      <c r="D82" s="17" t="str">
        <f>Investment_Master!D82</f>
        <v>IT</v>
      </c>
      <c r="E82" s="19">
        <f>Investment_Master!J82</f>
        <v>27210000</v>
      </c>
      <c r="F82" s="20">
        <f>Investment_Master!S82</f>
        <v>0.2304213103027663</v>
      </c>
      <c r="G82" s="20">
        <f>Investment_Master!T82</f>
        <v>0.25</v>
      </c>
      <c r="H82" s="20">
        <f>Investment_Master!U82</f>
        <v>-1.9578689697233698E-2</v>
      </c>
      <c r="I82" s="17" t="str">
        <f>Investment_Master!AH82</f>
        <v>Below Target</v>
      </c>
      <c r="J82" s="17" t="str">
        <f>Investment_Master!AB82</f>
        <v>Watch</v>
      </c>
      <c r="K82" s="17" t="str">
        <f>Investment_Master!AC82</f>
        <v>Review / Restructure</v>
      </c>
    </row>
    <row r="83" spans="1:11" ht="15" customHeight="1" x14ac:dyDescent="0.25">
      <c r="A83" s="17" t="str">
        <f>Investment_Master!A83</f>
        <v>INV-079</v>
      </c>
      <c r="B83" s="17" t="str">
        <f>Investment_Master!B83</f>
        <v>Leadership Development – North</v>
      </c>
      <c r="C83" s="17" t="str">
        <f>Investment_Master!C83</f>
        <v>Training</v>
      </c>
      <c r="D83" s="17" t="str">
        <f>Investment_Master!D83</f>
        <v>Product</v>
      </c>
      <c r="E83" s="19">
        <f>Investment_Master!J83</f>
        <v>11710000</v>
      </c>
      <c r="F83" s="20">
        <f>Investment_Master!S83</f>
        <v>-6.564863278350954E-3</v>
      </c>
      <c r="G83" s="20">
        <f>Investment_Master!T83</f>
        <v>0.15</v>
      </c>
      <c r="H83" s="20">
        <f>Investment_Master!U83</f>
        <v>-0.15656486327835095</v>
      </c>
      <c r="I83" s="17" t="str">
        <f>Investment_Master!AH83</f>
        <v>Significantly Below Target</v>
      </c>
      <c r="J83" s="17" t="str">
        <f>Investment_Master!AB83</f>
        <v>Underperforming</v>
      </c>
      <c r="K83" s="17" t="str">
        <f>Investment_Master!AC83</f>
        <v>Review / Restructure</v>
      </c>
    </row>
    <row r="84" spans="1:11" ht="15" customHeight="1" x14ac:dyDescent="0.25">
      <c r="A84" s="17" t="str">
        <f>Investment_Master!A84</f>
        <v>INV-080</v>
      </c>
      <c r="B84" s="17" t="str">
        <f>Investment_Master!B84</f>
        <v>Plant Utility Upgrade – East</v>
      </c>
      <c r="C84" s="17" t="str">
        <f>Investment_Master!C84</f>
        <v>Infrastructure</v>
      </c>
      <c r="D84" s="17" t="str">
        <f>Investment_Master!D84</f>
        <v>Marketing</v>
      </c>
      <c r="E84" s="19">
        <f>Investment_Master!J84</f>
        <v>51790000</v>
      </c>
      <c r="F84" s="20">
        <f>Investment_Master!S84</f>
        <v>0.10333432586281142</v>
      </c>
      <c r="G84" s="20">
        <f>Investment_Master!T84</f>
        <v>0.13</v>
      </c>
      <c r="H84" s="20">
        <f>Investment_Master!U84</f>
        <v>-2.666567413718858E-2</v>
      </c>
      <c r="I84" s="17" t="str">
        <f>Investment_Master!AH84</f>
        <v>Below Target</v>
      </c>
      <c r="J84" s="17" t="str">
        <f>Investment_Master!AB84</f>
        <v>Watch</v>
      </c>
      <c r="K84" s="17" t="str">
        <f>Investment_Master!AC84</f>
        <v>Review / Restructure</v>
      </c>
    </row>
    <row r="85" spans="1:11" ht="15" customHeight="1" x14ac:dyDescent="0.25">
      <c r="A85" s="17" t="str">
        <f>Investment_Master!A85</f>
        <v>INV-081</v>
      </c>
      <c r="B85" s="17" t="str">
        <f>Investment_Master!B85</f>
        <v>ERP Cloud Migration – Central</v>
      </c>
      <c r="C85" s="17" t="str">
        <f>Investment_Master!C85</f>
        <v>Technology</v>
      </c>
      <c r="D85" s="17" t="str">
        <f>Investment_Master!D85</f>
        <v>HR</v>
      </c>
      <c r="E85" s="19">
        <f>Investment_Master!J85</f>
        <v>20860000</v>
      </c>
      <c r="F85" s="20">
        <f>Investment_Master!S85</f>
        <v>0.19382902451821657</v>
      </c>
      <c r="G85" s="20">
        <f>Investment_Master!T85</f>
        <v>0.2</v>
      </c>
      <c r="H85" s="20">
        <f>Investment_Master!U85</f>
        <v>-6.1709754817834417E-3</v>
      </c>
      <c r="I85" s="17" t="str">
        <f>Investment_Master!AH85</f>
        <v>On Target</v>
      </c>
      <c r="J85" s="17" t="str">
        <f>Investment_Master!AB85</f>
        <v>Watch</v>
      </c>
      <c r="K85" s="17" t="str">
        <f>Investment_Master!AC85</f>
        <v>Review / Restructure</v>
      </c>
    </row>
    <row r="86" spans="1:11" ht="15" customHeight="1" x14ac:dyDescent="0.25">
      <c r="A86" s="17" t="str">
        <f>Investment_Master!A86</f>
        <v>INV-082</v>
      </c>
      <c r="B86" s="17" t="str">
        <f>Investment_Master!B86</f>
        <v>Brand Repositioning – South</v>
      </c>
      <c r="C86" s="17" t="str">
        <f>Investment_Master!C86</f>
        <v>Marketing</v>
      </c>
      <c r="D86" s="17" t="str">
        <f>Investment_Master!D86</f>
        <v>Supply Chain</v>
      </c>
      <c r="E86" s="19">
        <f>Investment_Master!J86</f>
        <v>17620000</v>
      </c>
      <c r="F86" s="20">
        <f>Investment_Master!S86</f>
        <v>0.213655533419911</v>
      </c>
      <c r="G86" s="20">
        <f>Investment_Master!T86</f>
        <v>0.22</v>
      </c>
      <c r="H86" s="20">
        <f>Investment_Master!U86</f>
        <v>-6.3444665800889977E-3</v>
      </c>
      <c r="I86" s="17" t="str">
        <f>Investment_Master!AH86</f>
        <v>On Target</v>
      </c>
      <c r="J86" s="17" t="str">
        <f>Investment_Master!AB86</f>
        <v>Watch</v>
      </c>
      <c r="K86" s="17" t="str">
        <f>Investment_Master!AC86</f>
        <v>Review / Restructure</v>
      </c>
    </row>
    <row r="87" spans="1:11" ht="15" customHeight="1" x14ac:dyDescent="0.25">
      <c r="A87" s="17" t="str">
        <f>Investment_Master!A87</f>
        <v>INV-083</v>
      </c>
      <c r="B87" s="17" t="str">
        <f>Investment_Master!B87</f>
        <v>Premium Product Line – West</v>
      </c>
      <c r="C87" s="17" t="str">
        <f>Investment_Master!C87</f>
        <v>Product Development</v>
      </c>
      <c r="D87" s="17" t="str">
        <f>Investment_Master!D87</f>
        <v>Operations</v>
      </c>
      <c r="E87" s="19">
        <f>Investment_Master!J87</f>
        <v>41940000</v>
      </c>
      <c r="F87" s="20">
        <f>Investment_Master!S87</f>
        <v>4.9285180036227616E-2</v>
      </c>
      <c r="G87" s="20">
        <f>Investment_Master!T87</f>
        <v>0.24</v>
      </c>
      <c r="H87" s="20">
        <f>Investment_Master!U87</f>
        <v>-0.19071481996377238</v>
      </c>
      <c r="I87" s="17" t="str">
        <f>Investment_Master!AH87</f>
        <v>Significantly Below Target</v>
      </c>
      <c r="J87" s="17" t="str">
        <f>Investment_Master!AB87</f>
        <v>Underperforming</v>
      </c>
      <c r="K87" s="17" t="str">
        <f>Investment_Master!AC87</f>
        <v>Review / Restructure</v>
      </c>
    </row>
    <row r="88" spans="1:11" ht="15" customHeight="1" x14ac:dyDescent="0.25">
      <c r="A88" s="17" t="str">
        <f>Investment_Master!A88</f>
        <v>INV-084</v>
      </c>
      <c r="B88" s="17" t="str">
        <f>Investment_Master!B88</f>
        <v>Tier-2 City Expansion – North</v>
      </c>
      <c r="C88" s="17" t="str">
        <f>Investment_Master!C88</f>
        <v>Expansion</v>
      </c>
      <c r="D88" s="17" t="str">
        <f>Investment_Master!D88</f>
        <v>Finance</v>
      </c>
      <c r="E88" s="19">
        <f>Investment_Master!J88</f>
        <v>37500000</v>
      </c>
      <c r="F88" s="20">
        <f>Investment_Master!S88</f>
        <v>0.19186773040400842</v>
      </c>
      <c r="G88" s="20">
        <f>Investment_Master!T88</f>
        <v>0.18</v>
      </c>
      <c r="H88" s="20">
        <f>Investment_Master!U88</f>
        <v>1.1867730404008431E-2</v>
      </c>
      <c r="I88" s="17" t="str">
        <f>Investment_Master!AH88</f>
        <v>On Target</v>
      </c>
      <c r="J88" s="17" t="str">
        <f>Investment_Master!AB88</f>
        <v>Watch</v>
      </c>
      <c r="K88" s="17" t="str">
        <f>Investment_Master!AC88</f>
        <v>Review / Restructure</v>
      </c>
    </row>
    <row r="89" spans="1:11" ht="15" customHeight="1" x14ac:dyDescent="0.25">
      <c r="A89" s="17" t="str">
        <f>Investment_Master!A89</f>
        <v>INV-085</v>
      </c>
      <c r="B89" s="17" t="str">
        <f>Investment_Master!B89</f>
        <v>Automated Packaging Line – East</v>
      </c>
      <c r="C89" s="17" t="str">
        <f>Investment_Master!C89</f>
        <v>Equipment</v>
      </c>
      <c r="D89" s="17" t="str">
        <f>Investment_Master!D89</f>
        <v>Sales</v>
      </c>
      <c r="E89" s="19">
        <f>Investment_Master!J89</f>
        <v>41180000</v>
      </c>
      <c r="F89" s="20">
        <f>Investment_Master!S89</f>
        <v>0.18640643841427754</v>
      </c>
      <c r="G89" s="20">
        <f>Investment_Master!T89</f>
        <v>0.17</v>
      </c>
      <c r="H89" s="20">
        <f>Investment_Master!U89</f>
        <v>1.6406438414277524E-2</v>
      </c>
      <c r="I89" s="17" t="str">
        <f>Investment_Master!AH89</f>
        <v>Above Target</v>
      </c>
      <c r="J89" s="17" t="str">
        <f>Investment_Master!AB89</f>
        <v>Watch</v>
      </c>
      <c r="K89" s="17" t="str">
        <f>Investment_Master!AC89</f>
        <v>Review / Restructure</v>
      </c>
    </row>
    <row r="90" spans="1:11" ht="15" customHeight="1" x14ac:dyDescent="0.25">
      <c r="A90" s="17" t="str">
        <f>Investment_Master!A90</f>
        <v>INV-086</v>
      </c>
      <c r="B90" s="17" t="str">
        <f>Investment_Master!B90</f>
        <v>RPA Finance Rollout – Central</v>
      </c>
      <c r="C90" s="17" t="str">
        <f>Investment_Master!C90</f>
        <v>Automation</v>
      </c>
      <c r="D90" s="17" t="str">
        <f>Investment_Master!D90</f>
        <v>IT</v>
      </c>
      <c r="E90" s="19">
        <f>Investment_Master!J90</f>
        <v>29800000</v>
      </c>
      <c r="F90" s="20">
        <f>Investment_Master!S90</f>
        <v>0.21801804494185087</v>
      </c>
      <c r="G90" s="20">
        <f>Investment_Master!T90</f>
        <v>0.25</v>
      </c>
      <c r="H90" s="20">
        <f>Investment_Master!U90</f>
        <v>-3.1981955058149131E-2</v>
      </c>
      <c r="I90" s="17" t="str">
        <f>Investment_Master!AH90</f>
        <v>Below Target</v>
      </c>
      <c r="J90" s="17" t="str">
        <f>Investment_Master!AB90</f>
        <v>Watch</v>
      </c>
      <c r="K90" s="17" t="str">
        <f>Investment_Master!AC90</f>
        <v>Review / Restructure</v>
      </c>
    </row>
    <row r="91" spans="1:11" ht="15" customHeight="1" x14ac:dyDescent="0.25">
      <c r="A91" s="17" t="str">
        <f>Investment_Master!A91</f>
        <v>INV-087</v>
      </c>
      <c r="B91" s="17" t="str">
        <f>Investment_Master!B91</f>
        <v>Leadership Development – South</v>
      </c>
      <c r="C91" s="17" t="str">
        <f>Investment_Master!C91</f>
        <v>Training</v>
      </c>
      <c r="D91" s="17" t="str">
        <f>Investment_Master!D91</f>
        <v>Product</v>
      </c>
      <c r="E91" s="19">
        <f>Investment_Master!J91</f>
        <v>8450000</v>
      </c>
      <c r="F91" s="20">
        <f>Investment_Master!S91</f>
        <v>-1.140020189797627E-2</v>
      </c>
      <c r="G91" s="20">
        <f>Investment_Master!T91</f>
        <v>0.15</v>
      </c>
      <c r="H91" s="20">
        <f>Investment_Master!U91</f>
        <v>-0.16140020189797627</v>
      </c>
      <c r="I91" s="17" t="str">
        <f>Investment_Master!AH91</f>
        <v>Significantly Below Target</v>
      </c>
      <c r="J91" s="17" t="str">
        <f>Investment_Master!AB91</f>
        <v>Underperforming</v>
      </c>
      <c r="K91" s="17" t="str">
        <f>Investment_Master!AC91</f>
        <v>Review / Restructure</v>
      </c>
    </row>
    <row r="92" spans="1:11" ht="15" customHeight="1" x14ac:dyDescent="0.25">
      <c r="A92" s="17" t="str">
        <f>Investment_Master!A92</f>
        <v>INV-088</v>
      </c>
      <c r="B92" s="17" t="str">
        <f>Investment_Master!B92</f>
        <v>Plant Utility Upgrade – West</v>
      </c>
      <c r="C92" s="17" t="str">
        <f>Investment_Master!C92</f>
        <v>Infrastructure</v>
      </c>
      <c r="D92" s="17" t="str">
        <f>Investment_Master!D92</f>
        <v>Marketing</v>
      </c>
      <c r="E92" s="19">
        <f>Investment_Master!J92</f>
        <v>53360000</v>
      </c>
      <c r="F92" s="20">
        <f>Investment_Master!S92</f>
        <v>0.26940507393960395</v>
      </c>
      <c r="G92" s="20">
        <f>Investment_Master!T92</f>
        <v>0.13</v>
      </c>
      <c r="H92" s="20">
        <f>Investment_Master!U92</f>
        <v>0.13940507393960394</v>
      </c>
      <c r="I92" s="17" t="str">
        <f>Investment_Master!AH92</f>
        <v>Significantly Above Target</v>
      </c>
      <c r="J92" s="17" t="str">
        <f>Investment_Master!AB92</f>
        <v>Good</v>
      </c>
      <c r="K92" s="17" t="str">
        <f>Investment_Master!AC92</f>
        <v>Review / Restructure</v>
      </c>
    </row>
    <row r="93" spans="1:11" ht="15" customHeight="1" x14ac:dyDescent="0.25">
      <c r="A93" s="17" t="str">
        <f>Investment_Master!A93</f>
        <v>INV-089</v>
      </c>
      <c r="B93" s="17" t="str">
        <f>Investment_Master!B93</f>
        <v>ERP Cloud Migration – North</v>
      </c>
      <c r="C93" s="17" t="str">
        <f>Investment_Master!C93</f>
        <v>Technology</v>
      </c>
      <c r="D93" s="17" t="str">
        <f>Investment_Master!D93</f>
        <v>HR</v>
      </c>
      <c r="E93" s="19">
        <f>Investment_Master!J93</f>
        <v>25620000</v>
      </c>
      <c r="F93" s="20">
        <f>Investment_Master!S93</f>
        <v>0.1639166278939809</v>
      </c>
      <c r="G93" s="20">
        <f>Investment_Master!T93</f>
        <v>0.2</v>
      </c>
      <c r="H93" s="20">
        <f>Investment_Master!U93</f>
        <v>-3.6083372106019113E-2</v>
      </c>
      <c r="I93" s="17" t="str">
        <f>Investment_Master!AH93</f>
        <v>Below Target</v>
      </c>
      <c r="J93" s="17" t="str">
        <f>Investment_Master!AB93</f>
        <v>Watch</v>
      </c>
      <c r="K93" s="17" t="str">
        <f>Investment_Master!AC93</f>
        <v>Review / Restructure</v>
      </c>
    </row>
    <row r="94" spans="1:11" ht="15" customHeight="1" x14ac:dyDescent="0.25">
      <c r="A94" s="17" t="str">
        <f>Investment_Master!A94</f>
        <v>INV-090</v>
      </c>
      <c r="B94" s="17" t="str">
        <f>Investment_Master!B94</f>
        <v>Brand Repositioning – East</v>
      </c>
      <c r="C94" s="17" t="str">
        <f>Investment_Master!C94</f>
        <v>Marketing</v>
      </c>
      <c r="D94" s="17" t="str">
        <f>Investment_Master!D94</f>
        <v>Supply Chain</v>
      </c>
      <c r="E94" s="19">
        <f>Investment_Master!J94</f>
        <v>21130000</v>
      </c>
      <c r="F94" s="20">
        <f>Investment_Master!S94</f>
        <v>0.26840103093294371</v>
      </c>
      <c r="G94" s="20">
        <f>Investment_Master!T94</f>
        <v>0.22</v>
      </c>
      <c r="H94" s="20">
        <f>Investment_Master!U94</f>
        <v>4.8401030932943706E-2</v>
      </c>
      <c r="I94" s="17" t="str">
        <f>Investment_Master!AH94</f>
        <v>Above Target</v>
      </c>
      <c r="J94" s="17" t="str">
        <f>Investment_Master!AB94</f>
        <v>Watch</v>
      </c>
      <c r="K94" s="17" t="str">
        <f>Investment_Master!AC94</f>
        <v>Review / Restructure</v>
      </c>
    </row>
    <row r="95" spans="1:11" ht="15" customHeight="1" x14ac:dyDescent="0.25">
      <c r="A95" s="17" t="str">
        <f>Investment_Master!A95</f>
        <v>INV-091</v>
      </c>
      <c r="B95" s="17" t="str">
        <f>Investment_Master!B95</f>
        <v>Premium Product Line – Central</v>
      </c>
      <c r="C95" s="17" t="str">
        <f>Investment_Master!C95</f>
        <v>Product Development</v>
      </c>
      <c r="D95" s="17" t="str">
        <f>Investment_Master!D95</f>
        <v>Operations</v>
      </c>
      <c r="E95" s="19">
        <f>Investment_Master!J95</f>
        <v>17340000</v>
      </c>
      <c r="F95" s="20">
        <f>Investment_Master!S95</f>
        <v>7.6815703817430317E-2</v>
      </c>
      <c r="G95" s="20">
        <f>Investment_Master!T95</f>
        <v>0.24</v>
      </c>
      <c r="H95" s="20">
        <f>Investment_Master!U95</f>
        <v>-0.16318429618256969</v>
      </c>
      <c r="I95" s="17" t="str">
        <f>Investment_Master!AH95</f>
        <v>Significantly Below Target</v>
      </c>
      <c r="J95" s="17" t="str">
        <f>Investment_Master!AB95</f>
        <v>Underperforming</v>
      </c>
      <c r="K95" s="17" t="str">
        <f>Investment_Master!AC95</f>
        <v>Review / Restructure</v>
      </c>
    </row>
    <row r="96" spans="1:11" ht="15" customHeight="1" x14ac:dyDescent="0.25">
      <c r="A96" s="17" t="str">
        <f>Investment_Master!A96</f>
        <v>INV-092</v>
      </c>
      <c r="B96" s="17" t="str">
        <f>Investment_Master!B96</f>
        <v>Tier-2 City Expansion – South</v>
      </c>
      <c r="C96" s="17" t="str">
        <f>Investment_Master!C96</f>
        <v>Expansion</v>
      </c>
      <c r="D96" s="17" t="str">
        <f>Investment_Master!D96</f>
        <v>Finance</v>
      </c>
      <c r="E96" s="19">
        <f>Investment_Master!J96</f>
        <v>57300000</v>
      </c>
      <c r="F96" s="20">
        <f>Investment_Master!S96</f>
        <v>8.0488526764316504E-2</v>
      </c>
      <c r="G96" s="20">
        <f>Investment_Master!T96</f>
        <v>0.18</v>
      </c>
      <c r="H96" s="20">
        <f>Investment_Master!U96</f>
        <v>-9.951147323568349E-2</v>
      </c>
      <c r="I96" s="17" t="str">
        <f>Investment_Master!AH96</f>
        <v>Significantly Below Target</v>
      </c>
      <c r="J96" s="17" t="str">
        <f>Investment_Master!AB96</f>
        <v>Underperforming</v>
      </c>
      <c r="K96" s="17" t="str">
        <f>Investment_Master!AC96</f>
        <v>Review / Restructure</v>
      </c>
    </row>
    <row r="97" spans="1:11" ht="15" customHeight="1" x14ac:dyDescent="0.25">
      <c r="A97" s="17" t="str">
        <f>Investment_Master!A97</f>
        <v>INV-093</v>
      </c>
      <c r="B97" s="17" t="str">
        <f>Investment_Master!B97</f>
        <v>Automated Packaging Line – West</v>
      </c>
      <c r="C97" s="17" t="str">
        <f>Investment_Master!C97</f>
        <v>Equipment</v>
      </c>
      <c r="D97" s="17" t="str">
        <f>Investment_Master!D97</f>
        <v>Sales</v>
      </c>
      <c r="E97" s="19">
        <f>Investment_Master!J97</f>
        <v>29260000</v>
      </c>
      <c r="F97" s="20">
        <f>Investment_Master!S97</f>
        <v>0.10204177181559984</v>
      </c>
      <c r="G97" s="20">
        <f>Investment_Master!T97</f>
        <v>0.17</v>
      </c>
      <c r="H97" s="20">
        <f>Investment_Master!U97</f>
        <v>-6.7958228184400171E-2</v>
      </c>
      <c r="I97" s="17" t="str">
        <f>Investment_Master!AH97</f>
        <v>Significantly Below Target</v>
      </c>
      <c r="J97" s="17" t="str">
        <f>Investment_Master!AB97</f>
        <v>Watch</v>
      </c>
      <c r="K97" s="17" t="str">
        <f>Investment_Master!AC97</f>
        <v>Review / Restructure</v>
      </c>
    </row>
    <row r="98" spans="1:11" ht="15" customHeight="1" x14ac:dyDescent="0.25">
      <c r="A98" s="17" t="str">
        <f>Investment_Master!A98</f>
        <v>INV-094</v>
      </c>
      <c r="B98" s="17" t="str">
        <f>Investment_Master!B98</f>
        <v>RPA Finance Rollout – North</v>
      </c>
      <c r="C98" s="17" t="str">
        <f>Investment_Master!C98</f>
        <v>Automation</v>
      </c>
      <c r="D98" s="17" t="str">
        <f>Investment_Master!D98</f>
        <v>IT</v>
      </c>
      <c r="E98" s="19">
        <f>Investment_Master!J98</f>
        <v>20030000</v>
      </c>
      <c r="F98" s="20">
        <f>Investment_Master!S98</f>
        <v>0.44575724487207546</v>
      </c>
      <c r="G98" s="20">
        <f>Investment_Master!T98</f>
        <v>0.25</v>
      </c>
      <c r="H98" s="20">
        <f>Investment_Master!U98</f>
        <v>0.19575724487207546</v>
      </c>
      <c r="I98" s="17" t="str">
        <f>Investment_Master!AH98</f>
        <v>Significantly Above Target</v>
      </c>
      <c r="J98" s="17" t="str">
        <f>Investment_Master!AB98</f>
        <v>Good</v>
      </c>
      <c r="K98" s="17" t="str">
        <f>Investment_Master!AC98</f>
        <v>Increase / Scale</v>
      </c>
    </row>
    <row r="99" spans="1:11" ht="15" customHeight="1" x14ac:dyDescent="0.25">
      <c r="A99" s="17" t="str">
        <f>Investment_Master!A99</f>
        <v>INV-095</v>
      </c>
      <c r="B99" s="17" t="str">
        <f>Investment_Master!B99</f>
        <v>Leadership Development – East</v>
      </c>
      <c r="C99" s="17" t="str">
        <f>Investment_Master!C99</f>
        <v>Training</v>
      </c>
      <c r="D99" s="17" t="str">
        <f>Investment_Master!D99</f>
        <v>Product</v>
      </c>
      <c r="E99" s="19">
        <f>Investment_Master!J99</f>
        <v>3890000</v>
      </c>
      <c r="F99" s="20">
        <f>Investment_Master!S99</f>
        <v>-4.5980220309967429E-2</v>
      </c>
      <c r="G99" s="20">
        <f>Investment_Master!T99</f>
        <v>0.15</v>
      </c>
      <c r="H99" s="20">
        <f>Investment_Master!U99</f>
        <v>-0.19598022030996742</v>
      </c>
      <c r="I99" s="17" t="str">
        <f>Investment_Master!AH99</f>
        <v>Significantly Below Target</v>
      </c>
      <c r="J99" s="17" t="str">
        <f>Investment_Master!AB99</f>
        <v>Underperforming</v>
      </c>
      <c r="K99" s="17" t="str">
        <f>Investment_Master!AC99</f>
        <v>Review / Restructure</v>
      </c>
    </row>
    <row r="100" spans="1:11" ht="15" customHeight="1" x14ac:dyDescent="0.25">
      <c r="A100" s="17" t="str">
        <f>Investment_Master!A100</f>
        <v>INV-096</v>
      </c>
      <c r="B100" s="17" t="str">
        <f>Investment_Master!B100</f>
        <v>Plant Utility Upgrade – Central</v>
      </c>
      <c r="C100" s="17" t="str">
        <f>Investment_Master!C100</f>
        <v>Infrastructure</v>
      </c>
      <c r="D100" s="17" t="str">
        <f>Investment_Master!D100</f>
        <v>Marketing</v>
      </c>
      <c r="E100" s="19">
        <f>Investment_Master!J100</f>
        <v>38670000</v>
      </c>
      <c r="F100" s="20">
        <f>Investment_Master!S100</f>
        <v>5.4713588628050723E-2</v>
      </c>
      <c r="G100" s="20">
        <f>Investment_Master!T100</f>
        <v>0.13</v>
      </c>
      <c r="H100" s="20">
        <f>Investment_Master!U100</f>
        <v>-7.5286411371949274E-2</v>
      </c>
      <c r="I100" s="17" t="str">
        <f>Investment_Master!AH100</f>
        <v>Significantly Below Target</v>
      </c>
      <c r="J100" s="17" t="str">
        <f>Investment_Master!AB100</f>
        <v>Watch</v>
      </c>
      <c r="K100" s="17" t="str">
        <f>Investment_Master!AC100</f>
        <v>Review / Restructure</v>
      </c>
    </row>
    <row r="101" spans="1:11" ht="15" customHeight="1" x14ac:dyDescent="0.25">
      <c r="A101" s="17" t="str">
        <f>Investment_Master!A101</f>
        <v>INV-097</v>
      </c>
      <c r="B101" s="17" t="str">
        <f>Investment_Master!B101</f>
        <v>ERP Cloud Migration – South</v>
      </c>
      <c r="C101" s="17" t="str">
        <f>Investment_Master!C101</f>
        <v>Technology</v>
      </c>
      <c r="D101" s="17" t="str">
        <f>Investment_Master!D101</f>
        <v>HR</v>
      </c>
      <c r="E101" s="19">
        <f>Investment_Master!J101</f>
        <v>34010000</v>
      </c>
      <c r="F101" s="20">
        <f>Investment_Master!S101</f>
        <v>0.28537394471503391</v>
      </c>
      <c r="G101" s="20">
        <f>Investment_Master!T101</f>
        <v>0.2</v>
      </c>
      <c r="H101" s="20">
        <f>Investment_Master!U101</f>
        <v>8.53739447150339E-2</v>
      </c>
      <c r="I101" s="17" t="str">
        <f>Investment_Master!AH101</f>
        <v>Significantly Above Target</v>
      </c>
      <c r="J101" s="17" t="str">
        <f>Investment_Master!AB101</f>
        <v>Good</v>
      </c>
      <c r="K101" s="17" t="str">
        <f>Investment_Master!AC101</f>
        <v>Review / Restructure</v>
      </c>
    </row>
    <row r="102" spans="1:11" ht="15" customHeight="1" x14ac:dyDescent="0.25">
      <c r="A102" s="17" t="str">
        <f>Investment_Master!A102</f>
        <v>INV-098</v>
      </c>
      <c r="B102" s="17" t="str">
        <f>Investment_Master!B102</f>
        <v>Brand Repositioning – West</v>
      </c>
      <c r="C102" s="17" t="str">
        <f>Investment_Master!C102</f>
        <v>Marketing</v>
      </c>
      <c r="D102" s="17" t="str">
        <f>Investment_Master!D102</f>
        <v>Supply Chain</v>
      </c>
      <c r="E102" s="19">
        <f>Investment_Master!J102</f>
        <v>14140000</v>
      </c>
      <c r="F102" s="20">
        <f>Investment_Master!S102</f>
        <v>0.12595014089173551</v>
      </c>
      <c r="G102" s="20">
        <f>Investment_Master!T102</f>
        <v>0.22</v>
      </c>
      <c r="H102" s="20">
        <f>Investment_Master!U102</f>
        <v>-9.4049859108264494E-2</v>
      </c>
      <c r="I102" s="17" t="str">
        <f>Investment_Master!AH102</f>
        <v>Significantly Below Target</v>
      </c>
      <c r="J102" s="17" t="str">
        <f>Investment_Master!AB102</f>
        <v>Underperforming</v>
      </c>
      <c r="K102" s="17" t="str">
        <f>Investment_Master!AC102</f>
        <v>Review / Restructure</v>
      </c>
    </row>
    <row r="103" spans="1:11" ht="15" customHeight="1" x14ac:dyDescent="0.25">
      <c r="A103" s="17" t="str">
        <f>Investment_Master!A103</f>
        <v>INV-099</v>
      </c>
      <c r="B103" s="17" t="str">
        <f>Investment_Master!B103</f>
        <v>Premium Product Line – North</v>
      </c>
      <c r="C103" s="17" t="str">
        <f>Investment_Master!C103</f>
        <v>Product Development</v>
      </c>
      <c r="D103" s="17" t="str">
        <f>Investment_Master!D103</f>
        <v>Operations</v>
      </c>
      <c r="E103" s="19">
        <f>Investment_Master!J103</f>
        <v>15200000</v>
      </c>
      <c r="F103" s="20">
        <f>Investment_Master!S103</f>
        <v>5.8332881243436253E-2</v>
      </c>
      <c r="G103" s="20">
        <f>Investment_Master!T103</f>
        <v>0.24</v>
      </c>
      <c r="H103" s="20">
        <f>Investment_Master!U103</f>
        <v>-0.18166711875656374</v>
      </c>
      <c r="I103" s="17" t="str">
        <f>Investment_Master!AH103</f>
        <v>Significantly Below Target</v>
      </c>
      <c r="J103" s="17" t="str">
        <f>Investment_Master!AB103</f>
        <v>Underperforming</v>
      </c>
      <c r="K103" s="17" t="str">
        <f>Investment_Master!AC103</f>
        <v>Review / Restructure</v>
      </c>
    </row>
    <row r="104" spans="1:11" ht="15" customHeight="1" x14ac:dyDescent="0.25">
      <c r="A104" s="17" t="str">
        <f>Investment_Master!A104</f>
        <v>INV-100</v>
      </c>
      <c r="B104" s="17" t="str">
        <f>Investment_Master!B104</f>
        <v>Tier-2 City Expansion – East</v>
      </c>
      <c r="C104" s="17" t="str">
        <f>Investment_Master!C104</f>
        <v>Expansion</v>
      </c>
      <c r="D104" s="17" t="str">
        <f>Investment_Master!D104</f>
        <v>Finance</v>
      </c>
      <c r="E104" s="19">
        <f>Investment_Master!J104</f>
        <v>20910000</v>
      </c>
      <c r="F104" s="20">
        <f>Investment_Master!S104</f>
        <v>-1.7373702485281091E-2</v>
      </c>
      <c r="G104" s="20">
        <f>Investment_Master!T104</f>
        <v>0.18</v>
      </c>
      <c r="H104" s="20">
        <f>Investment_Master!U104</f>
        <v>-0.19737370248528108</v>
      </c>
      <c r="I104" s="17" t="str">
        <f>Investment_Master!AH104</f>
        <v>Significantly Below Target</v>
      </c>
      <c r="J104" s="17" t="str">
        <f>Investment_Master!AB104</f>
        <v>Underperforming</v>
      </c>
      <c r="K104" s="17" t="str">
        <f>Investment_Master!AC104</f>
        <v>Review / Restructure</v>
      </c>
    </row>
    <row r="105" spans="1:11" ht="15" customHeight="1" x14ac:dyDescent="0.25">
      <c r="A105" s="17" t="str">
        <f>Investment_Master!A105</f>
        <v>INV-101</v>
      </c>
      <c r="B105" s="17" t="str">
        <f>Investment_Master!B105</f>
        <v>Automated Packaging Line – Central</v>
      </c>
      <c r="C105" s="17" t="str">
        <f>Investment_Master!C105</f>
        <v>Equipment</v>
      </c>
      <c r="D105" s="17" t="str">
        <f>Investment_Master!D105</f>
        <v>Sales</v>
      </c>
      <c r="E105" s="19">
        <f>Investment_Master!J105</f>
        <v>14740000</v>
      </c>
      <c r="F105" s="20">
        <f>Investment_Master!S105</f>
        <v>0.23570228906668914</v>
      </c>
      <c r="G105" s="20">
        <f>Investment_Master!T105</f>
        <v>0.17</v>
      </c>
      <c r="H105" s="20">
        <f>Investment_Master!U105</f>
        <v>6.5702289066689123E-2</v>
      </c>
      <c r="I105" s="17" t="str">
        <f>Investment_Master!AH105</f>
        <v>Significantly Above Target</v>
      </c>
      <c r="J105" s="17" t="str">
        <f>Investment_Master!AB105</f>
        <v>Watch</v>
      </c>
      <c r="K105" s="17" t="str">
        <f>Investment_Master!AC105</f>
        <v>Review / Restructure</v>
      </c>
    </row>
    <row r="106" spans="1:11" ht="15" customHeight="1" x14ac:dyDescent="0.25">
      <c r="A106" s="17" t="str">
        <f>Investment_Master!A106</f>
        <v>INV-102</v>
      </c>
      <c r="B106" s="17" t="str">
        <f>Investment_Master!B106</f>
        <v>RPA Finance Rollout – South</v>
      </c>
      <c r="C106" s="17" t="str">
        <f>Investment_Master!C106</f>
        <v>Automation</v>
      </c>
      <c r="D106" s="17" t="str">
        <f>Investment_Master!D106</f>
        <v>IT</v>
      </c>
      <c r="E106" s="19">
        <f>Investment_Master!J106</f>
        <v>7830000</v>
      </c>
      <c r="F106" s="20">
        <f>Investment_Master!S106</f>
        <v>0.31206338386321308</v>
      </c>
      <c r="G106" s="20">
        <f>Investment_Master!T106</f>
        <v>0.25</v>
      </c>
      <c r="H106" s="20">
        <f>Investment_Master!U106</f>
        <v>6.2063383863213084E-2</v>
      </c>
      <c r="I106" s="17" t="str">
        <f>Investment_Master!AH106</f>
        <v>Significantly Above Target</v>
      </c>
      <c r="J106" s="17" t="str">
        <f>Investment_Master!AB106</f>
        <v>Watch</v>
      </c>
      <c r="K106" s="17" t="str">
        <f>Investment_Master!AC106</f>
        <v>Review / Restructure</v>
      </c>
    </row>
    <row r="107" spans="1:11" ht="15" customHeight="1" x14ac:dyDescent="0.25">
      <c r="A107" s="17" t="str">
        <f>Investment_Master!A107</f>
        <v>INV-103</v>
      </c>
      <c r="B107" s="17" t="str">
        <f>Investment_Master!B107</f>
        <v>Leadership Development – West</v>
      </c>
      <c r="C107" s="17" t="str">
        <f>Investment_Master!C107</f>
        <v>Training</v>
      </c>
      <c r="D107" s="17" t="str">
        <f>Investment_Master!D107</f>
        <v>Product</v>
      </c>
      <c r="E107" s="19">
        <f>Investment_Master!J107</f>
        <v>3010000</v>
      </c>
      <c r="F107" s="20">
        <f>Investment_Master!S107</f>
        <v>5.4344064025292668E-2</v>
      </c>
      <c r="G107" s="20">
        <f>Investment_Master!T107</f>
        <v>0.15</v>
      </c>
      <c r="H107" s="20">
        <f>Investment_Master!U107</f>
        <v>-9.5655935974707326E-2</v>
      </c>
      <c r="I107" s="17" t="str">
        <f>Investment_Master!AH107</f>
        <v>Significantly Below Target</v>
      </c>
      <c r="J107" s="17" t="str">
        <f>Investment_Master!AB107</f>
        <v>Underperforming</v>
      </c>
      <c r="K107" s="17" t="str">
        <f>Investment_Master!AC107</f>
        <v>Review / Restructure</v>
      </c>
    </row>
    <row r="108" spans="1:11" ht="15" customHeight="1" x14ac:dyDescent="0.25">
      <c r="A108" s="17" t="str">
        <f>Investment_Master!A108</f>
        <v>INV-104</v>
      </c>
      <c r="B108" s="17" t="str">
        <f>Investment_Master!B108</f>
        <v>Plant Utility Upgrade – North</v>
      </c>
      <c r="C108" s="17" t="str">
        <f>Investment_Master!C108</f>
        <v>Infrastructure</v>
      </c>
      <c r="D108" s="17" t="str">
        <f>Investment_Master!D108</f>
        <v>Marketing</v>
      </c>
      <c r="E108" s="19">
        <f>Investment_Master!J108</f>
        <v>42930000</v>
      </c>
      <c r="F108" s="20">
        <f>Investment_Master!S108</f>
        <v>0.12843298488395485</v>
      </c>
      <c r="G108" s="20">
        <f>Investment_Master!T108</f>
        <v>0.13</v>
      </c>
      <c r="H108" s="20">
        <f>Investment_Master!U108</f>
        <v>-1.5670151160451506E-3</v>
      </c>
      <c r="I108" s="17" t="str">
        <f>Investment_Master!AH108</f>
        <v>On Target</v>
      </c>
      <c r="J108" s="17" t="str">
        <f>Investment_Master!AB108</f>
        <v>Watch</v>
      </c>
      <c r="K108" s="17" t="str">
        <f>Investment_Master!AC108</f>
        <v>Review / Restructure</v>
      </c>
    </row>
    <row r="109" spans="1:11" ht="15" customHeight="1" x14ac:dyDescent="0.25">
      <c r="A109" s="17" t="str">
        <f>Investment_Master!A109</f>
        <v>INV-105</v>
      </c>
      <c r="B109" s="17" t="str">
        <f>Investment_Master!B109</f>
        <v>ERP Cloud Migration – East</v>
      </c>
      <c r="C109" s="17" t="str">
        <f>Investment_Master!C109</f>
        <v>Technology</v>
      </c>
      <c r="D109" s="17" t="str">
        <f>Investment_Master!D109</f>
        <v>HR</v>
      </c>
      <c r="E109" s="19">
        <f>Investment_Master!J109</f>
        <v>34630000</v>
      </c>
      <c r="F109" s="20">
        <f>Investment_Master!S109</f>
        <v>0.15555690015774115</v>
      </c>
      <c r="G109" s="20">
        <f>Investment_Master!T109</f>
        <v>0.2</v>
      </c>
      <c r="H109" s="20">
        <f>Investment_Master!U109</f>
        <v>-4.444309984225886E-2</v>
      </c>
      <c r="I109" s="17" t="str">
        <f>Investment_Master!AH109</f>
        <v>Below Target</v>
      </c>
      <c r="J109" s="17" t="str">
        <f>Investment_Master!AB109</f>
        <v>Watch</v>
      </c>
      <c r="K109" s="17" t="str">
        <f>Investment_Master!AC109</f>
        <v>Review / Restructure</v>
      </c>
    </row>
    <row r="110" spans="1:11" ht="15" customHeight="1" x14ac:dyDescent="0.25">
      <c r="A110" s="17" t="str">
        <f>Investment_Master!A110</f>
        <v>INV-106</v>
      </c>
      <c r="B110" s="17" t="str">
        <f>Investment_Master!B110</f>
        <v>Brand Repositioning – Central</v>
      </c>
      <c r="C110" s="17" t="str">
        <f>Investment_Master!C110</f>
        <v>Marketing</v>
      </c>
      <c r="D110" s="17" t="str">
        <f>Investment_Master!D110</f>
        <v>Supply Chain</v>
      </c>
      <c r="E110" s="19">
        <f>Investment_Master!J110</f>
        <v>8700000</v>
      </c>
      <c r="F110" s="20">
        <f>Investment_Master!S110</f>
        <v>0.14088085360850838</v>
      </c>
      <c r="G110" s="20">
        <f>Investment_Master!T110</f>
        <v>0.22</v>
      </c>
      <c r="H110" s="20">
        <f>Investment_Master!U110</f>
        <v>-7.9119146391491618E-2</v>
      </c>
      <c r="I110" s="17" t="str">
        <f>Investment_Master!AH110</f>
        <v>Significantly Below Target</v>
      </c>
      <c r="J110" s="17" t="str">
        <f>Investment_Master!AB110</f>
        <v>Underperforming</v>
      </c>
      <c r="K110" s="17" t="str">
        <f>Investment_Master!AC110</f>
        <v>Review / Restructure</v>
      </c>
    </row>
    <row r="111" spans="1:11" ht="15" customHeight="1" x14ac:dyDescent="0.25">
      <c r="A111" s="17" t="str">
        <f>Investment_Master!A111</f>
        <v>INV-107</v>
      </c>
      <c r="B111" s="17" t="str">
        <f>Investment_Master!B111</f>
        <v>Premium Product Line – South</v>
      </c>
      <c r="C111" s="17" t="str">
        <f>Investment_Master!C111</f>
        <v>Product Development</v>
      </c>
      <c r="D111" s="17" t="str">
        <f>Investment_Master!D111</f>
        <v>Operations</v>
      </c>
      <c r="E111" s="19">
        <f>Investment_Master!J111</f>
        <v>24380000</v>
      </c>
      <c r="F111" s="20">
        <f>Investment_Master!S111</f>
        <v>2.3893972921018032E-2</v>
      </c>
      <c r="G111" s="20">
        <f>Investment_Master!T111</f>
        <v>0.24</v>
      </c>
      <c r="H111" s="20">
        <f>Investment_Master!U111</f>
        <v>-0.21610602707898197</v>
      </c>
      <c r="I111" s="17" t="str">
        <f>Investment_Master!AH111</f>
        <v>Significantly Below Target</v>
      </c>
      <c r="J111" s="17" t="str">
        <f>Investment_Master!AB111</f>
        <v>Underperforming</v>
      </c>
      <c r="K111" s="17" t="str">
        <f>Investment_Master!AC111</f>
        <v>Review / Restructure</v>
      </c>
    </row>
    <row r="112" spans="1:11" ht="15" customHeight="1" x14ac:dyDescent="0.25">
      <c r="A112" s="17" t="str">
        <f>Investment_Master!A112</f>
        <v>INV-108</v>
      </c>
      <c r="B112" s="17" t="str">
        <f>Investment_Master!B112</f>
        <v>Tier-2 City Expansion – West</v>
      </c>
      <c r="C112" s="17" t="str">
        <f>Investment_Master!C112</f>
        <v>Expansion</v>
      </c>
      <c r="D112" s="17" t="str">
        <f>Investment_Master!D112</f>
        <v>Finance</v>
      </c>
      <c r="E112" s="19">
        <f>Investment_Master!J112</f>
        <v>63450000</v>
      </c>
      <c r="F112" s="20">
        <f>Investment_Master!S112</f>
        <v>0.12856221018510014</v>
      </c>
      <c r="G112" s="20">
        <f>Investment_Master!T112</f>
        <v>0.18</v>
      </c>
      <c r="H112" s="20">
        <f>Investment_Master!U112</f>
        <v>-5.1437789814899854E-2</v>
      </c>
      <c r="I112" s="17" t="str">
        <f>Investment_Master!AH112</f>
        <v>Significantly Below Target</v>
      </c>
      <c r="J112" s="17" t="str">
        <f>Investment_Master!AB112</f>
        <v>Watch</v>
      </c>
      <c r="K112" s="17" t="str">
        <f>Investment_Master!AC112</f>
        <v>Review / Restructure</v>
      </c>
    </row>
    <row r="113" spans="1:11" ht="15" customHeight="1" x14ac:dyDescent="0.25">
      <c r="A113" s="17" t="str">
        <f>Investment_Master!A113</f>
        <v>INV-109</v>
      </c>
      <c r="B113" s="17" t="str">
        <f>Investment_Master!B113</f>
        <v>Automated Packaging Line – North</v>
      </c>
      <c r="C113" s="17" t="str">
        <f>Investment_Master!C113</f>
        <v>Equipment</v>
      </c>
      <c r="D113" s="17" t="str">
        <f>Investment_Master!D113</f>
        <v>Sales</v>
      </c>
      <c r="E113" s="19">
        <f>Investment_Master!J113</f>
        <v>31090000</v>
      </c>
      <c r="F113" s="20">
        <f>Investment_Master!S113</f>
        <v>0.13844489330352647</v>
      </c>
      <c r="G113" s="20">
        <f>Investment_Master!T113</f>
        <v>0.17</v>
      </c>
      <c r="H113" s="20">
        <f>Investment_Master!U113</f>
        <v>-3.1555106696473545E-2</v>
      </c>
      <c r="I113" s="17" t="str">
        <f>Investment_Master!AH113</f>
        <v>Below Target</v>
      </c>
      <c r="J113" s="17" t="str">
        <f>Investment_Master!AB113</f>
        <v>Watch</v>
      </c>
      <c r="K113" s="17" t="str">
        <f>Investment_Master!AC113</f>
        <v>Review / Restructure</v>
      </c>
    </row>
    <row r="114" spans="1:11" ht="15" customHeight="1" x14ac:dyDescent="0.25">
      <c r="A114" s="17" t="str">
        <f>Investment_Master!A114</f>
        <v>INV-110</v>
      </c>
      <c r="B114" s="17" t="str">
        <f>Investment_Master!B114</f>
        <v>RPA Finance Rollout – East</v>
      </c>
      <c r="C114" s="17" t="str">
        <f>Investment_Master!C114</f>
        <v>Automation</v>
      </c>
      <c r="D114" s="17" t="str">
        <f>Investment_Master!D114</f>
        <v>IT</v>
      </c>
      <c r="E114" s="19">
        <f>Investment_Master!J114</f>
        <v>28940000</v>
      </c>
      <c r="F114" s="20">
        <f>Investment_Master!S114</f>
        <v>0.25339000010004892</v>
      </c>
      <c r="G114" s="20">
        <f>Investment_Master!T114</f>
        <v>0.25</v>
      </c>
      <c r="H114" s="20">
        <f>Investment_Master!U114</f>
        <v>3.3900001000489177E-3</v>
      </c>
      <c r="I114" s="17" t="str">
        <f>Investment_Master!AH114</f>
        <v>On Target</v>
      </c>
      <c r="J114" s="17" t="str">
        <f>Investment_Master!AB114</f>
        <v>Watch</v>
      </c>
      <c r="K114" s="17" t="str">
        <f>Investment_Master!AC114</f>
        <v>Review / Restructure</v>
      </c>
    </row>
    <row r="115" spans="1:11" ht="15" customHeight="1" x14ac:dyDescent="0.25">
      <c r="A115" s="17" t="str">
        <f>Investment_Master!A115</f>
        <v>INV-111</v>
      </c>
      <c r="B115" s="17" t="str">
        <f>Investment_Master!B115</f>
        <v>Leadership Development – Central</v>
      </c>
      <c r="C115" s="17" t="str">
        <f>Investment_Master!C115</f>
        <v>Training</v>
      </c>
      <c r="D115" s="17" t="str">
        <f>Investment_Master!D115</f>
        <v>Product</v>
      </c>
      <c r="E115" s="19">
        <f>Investment_Master!J115</f>
        <v>5810000</v>
      </c>
      <c r="F115" s="20">
        <f>Investment_Master!S115</f>
        <v>-0.1010643962629646</v>
      </c>
      <c r="G115" s="20">
        <f>Investment_Master!T115</f>
        <v>0.15</v>
      </c>
      <c r="H115" s="20">
        <f>Investment_Master!U115</f>
        <v>-0.25106439626296462</v>
      </c>
      <c r="I115" s="17" t="str">
        <f>Investment_Master!AH115</f>
        <v>Significantly Below Target</v>
      </c>
      <c r="J115" s="17" t="str">
        <f>Investment_Master!AB115</f>
        <v>Underperforming</v>
      </c>
      <c r="K115" s="17" t="str">
        <f>Investment_Master!AC115</f>
        <v>Review / Restructure</v>
      </c>
    </row>
    <row r="116" spans="1:11" ht="15" customHeight="1" x14ac:dyDescent="0.25">
      <c r="A116" s="17" t="str">
        <f>Investment_Master!A116</f>
        <v>INV-112</v>
      </c>
      <c r="B116" s="17" t="str">
        <f>Investment_Master!B116</f>
        <v>Plant Utility Upgrade – South</v>
      </c>
      <c r="C116" s="17" t="str">
        <f>Investment_Master!C116</f>
        <v>Infrastructure</v>
      </c>
      <c r="D116" s="17" t="str">
        <f>Investment_Master!D116</f>
        <v>Marketing</v>
      </c>
      <c r="E116" s="19">
        <f>Investment_Master!J116</f>
        <v>56870000</v>
      </c>
      <c r="F116" s="20">
        <f>Investment_Master!S116</f>
        <v>5.374570044300165E-2</v>
      </c>
      <c r="G116" s="20">
        <f>Investment_Master!T116</f>
        <v>0.13</v>
      </c>
      <c r="H116" s="20">
        <f>Investment_Master!U116</f>
        <v>-7.6254299556998362E-2</v>
      </c>
      <c r="I116" s="17" t="str">
        <f>Investment_Master!AH116</f>
        <v>Significantly Below Target</v>
      </c>
      <c r="J116" s="17" t="str">
        <f>Investment_Master!AB116</f>
        <v>Watch</v>
      </c>
      <c r="K116" s="17" t="str">
        <f>Investment_Master!AC116</f>
        <v>Review / Restructure</v>
      </c>
    </row>
    <row r="117" spans="1:11" ht="15" customHeight="1" x14ac:dyDescent="0.25">
      <c r="A117" s="17" t="str">
        <f>Investment_Master!A117</f>
        <v>INV-113</v>
      </c>
      <c r="B117" s="17" t="str">
        <f>Investment_Master!B117</f>
        <v>ERP Cloud Migration – West</v>
      </c>
      <c r="C117" s="17" t="str">
        <f>Investment_Master!C117</f>
        <v>Technology</v>
      </c>
      <c r="D117" s="17" t="str">
        <f>Investment_Master!D117</f>
        <v>HR</v>
      </c>
      <c r="E117" s="19">
        <f>Investment_Master!J117</f>
        <v>8580000</v>
      </c>
      <c r="F117" s="20">
        <f>Investment_Master!S117</f>
        <v>0.2558908941704196</v>
      </c>
      <c r="G117" s="20">
        <f>Investment_Master!T117</f>
        <v>0.2</v>
      </c>
      <c r="H117" s="20">
        <f>Investment_Master!U117</f>
        <v>5.5890894170419592E-2</v>
      </c>
      <c r="I117" s="17" t="str">
        <f>Investment_Master!AH117</f>
        <v>Significantly Above Target</v>
      </c>
      <c r="J117" s="17" t="str">
        <f>Investment_Master!AB117</f>
        <v>Watch</v>
      </c>
      <c r="K117" s="17" t="str">
        <f>Investment_Master!AC117</f>
        <v>Review / Restructure</v>
      </c>
    </row>
    <row r="118" spans="1:11" ht="15" customHeight="1" x14ac:dyDescent="0.25">
      <c r="A118" s="17" t="str">
        <f>Investment_Master!A118</f>
        <v>INV-114</v>
      </c>
      <c r="B118" s="17" t="str">
        <f>Investment_Master!B118</f>
        <v>Brand Repositioning – North</v>
      </c>
      <c r="C118" s="17" t="str">
        <f>Investment_Master!C118</f>
        <v>Marketing</v>
      </c>
      <c r="D118" s="17" t="str">
        <f>Investment_Master!D118</f>
        <v>Supply Chain</v>
      </c>
      <c r="E118" s="19">
        <f>Investment_Master!J118</f>
        <v>10810000</v>
      </c>
      <c r="F118" s="20">
        <f>Investment_Master!S118</f>
        <v>0.2435981657026208</v>
      </c>
      <c r="G118" s="20">
        <f>Investment_Master!T118</f>
        <v>0.22</v>
      </c>
      <c r="H118" s="20">
        <f>Investment_Master!U118</f>
        <v>2.3598165702620799E-2</v>
      </c>
      <c r="I118" s="17" t="str">
        <f>Investment_Master!AH118</f>
        <v>Above Target</v>
      </c>
      <c r="J118" s="17" t="str">
        <f>Investment_Master!AB118</f>
        <v>Watch</v>
      </c>
      <c r="K118" s="17" t="str">
        <f>Investment_Master!AC118</f>
        <v>Review / Restructure</v>
      </c>
    </row>
    <row r="119" spans="1:11" ht="15" customHeight="1" x14ac:dyDescent="0.25">
      <c r="A119" s="17" t="str">
        <f>Investment_Master!A119</f>
        <v>INV-115</v>
      </c>
      <c r="B119" s="17" t="str">
        <f>Investment_Master!B119</f>
        <v>Premium Product Line – East</v>
      </c>
      <c r="C119" s="17" t="str">
        <f>Investment_Master!C119</f>
        <v>Product Development</v>
      </c>
      <c r="D119" s="17" t="str">
        <f>Investment_Master!D119</f>
        <v>Operations</v>
      </c>
      <c r="E119" s="19">
        <f>Investment_Master!J119</f>
        <v>33160000</v>
      </c>
      <c r="F119" s="20">
        <f>Investment_Master!S119</f>
        <v>0.15233984277628887</v>
      </c>
      <c r="G119" s="20">
        <f>Investment_Master!T119</f>
        <v>0.24</v>
      </c>
      <c r="H119" s="20">
        <f>Investment_Master!U119</f>
        <v>-8.7660157223711122E-2</v>
      </c>
      <c r="I119" s="17" t="str">
        <f>Investment_Master!AH119</f>
        <v>Significantly Below Target</v>
      </c>
      <c r="J119" s="17" t="str">
        <f>Investment_Master!AB119</f>
        <v>Underperforming</v>
      </c>
      <c r="K119" s="17" t="str">
        <f>Investment_Master!AC119</f>
        <v>Review / Restructure</v>
      </c>
    </row>
    <row r="120" spans="1:11" ht="15" customHeight="1" x14ac:dyDescent="0.25">
      <c r="A120" s="17" t="str">
        <f>Investment_Master!A120</f>
        <v>INV-116</v>
      </c>
      <c r="B120" s="17" t="str">
        <f>Investment_Master!B120</f>
        <v>Tier-2 City Expansion – Central</v>
      </c>
      <c r="C120" s="17" t="str">
        <f>Investment_Master!C120</f>
        <v>Expansion</v>
      </c>
      <c r="D120" s="17" t="str">
        <f>Investment_Master!D120</f>
        <v>Finance</v>
      </c>
      <c r="E120" s="19">
        <f>Investment_Master!J120</f>
        <v>38380000</v>
      </c>
      <c r="F120" s="20">
        <f>Investment_Master!S120</f>
        <v>0.1283503681175473</v>
      </c>
      <c r="G120" s="20">
        <f>Investment_Master!T120</f>
        <v>0.18</v>
      </c>
      <c r="H120" s="20">
        <f>Investment_Master!U120</f>
        <v>-5.1649631882452696E-2</v>
      </c>
      <c r="I120" s="17" t="str">
        <f>Investment_Master!AH120</f>
        <v>Significantly Below Target</v>
      </c>
      <c r="J120" s="17" t="str">
        <f>Investment_Master!AB120</f>
        <v>Watch</v>
      </c>
      <c r="K120" s="17" t="str">
        <f>Investment_Master!AC120</f>
        <v>Review / Restructure</v>
      </c>
    </row>
    <row r="121" spans="1:11" ht="15" customHeight="1" x14ac:dyDescent="0.25">
      <c r="A121" s="17" t="str">
        <f>Investment_Master!A121</f>
        <v>INV-117</v>
      </c>
      <c r="B121" s="17" t="str">
        <f>Investment_Master!B121</f>
        <v>Automated Packaging Line – South</v>
      </c>
      <c r="C121" s="17" t="str">
        <f>Investment_Master!C121</f>
        <v>Equipment</v>
      </c>
      <c r="D121" s="17" t="str">
        <f>Investment_Master!D121</f>
        <v>Sales</v>
      </c>
      <c r="E121" s="19">
        <f>Investment_Master!J121</f>
        <v>24650000</v>
      </c>
      <c r="F121" s="20">
        <f>Investment_Master!S121</f>
        <v>0.20047384630128892</v>
      </c>
      <c r="G121" s="20">
        <f>Investment_Master!T121</f>
        <v>0.17</v>
      </c>
      <c r="H121" s="20">
        <f>Investment_Master!U121</f>
        <v>3.0473846301288909E-2</v>
      </c>
      <c r="I121" s="17" t="str">
        <f>Investment_Master!AH121</f>
        <v>Above Target</v>
      </c>
      <c r="J121" s="17" t="str">
        <f>Investment_Master!AB121</f>
        <v>Watch</v>
      </c>
      <c r="K121" s="17" t="str">
        <f>Investment_Master!AC121</f>
        <v>Review / Restructure</v>
      </c>
    </row>
    <row r="122" spans="1:11" ht="15" customHeight="1" x14ac:dyDescent="0.25">
      <c r="A122" s="17" t="str">
        <f>Investment_Master!A122</f>
        <v>INV-118</v>
      </c>
      <c r="B122" s="17" t="str">
        <f>Investment_Master!B122</f>
        <v>RPA Finance Rollout – West</v>
      </c>
      <c r="C122" s="17" t="str">
        <f>Investment_Master!C122</f>
        <v>Automation</v>
      </c>
      <c r="D122" s="17" t="str">
        <f>Investment_Master!D122</f>
        <v>IT</v>
      </c>
      <c r="E122" s="19">
        <f>Investment_Master!J122</f>
        <v>24120000</v>
      </c>
      <c r="F122" s="20">
        <f>Investment_Master!S122</f>
        <v>0.20828298451899124</v>
      </c>
      <c r="G122" s="20">
        <f>Investment_Master!T122</f>
        <v>0.25</v>
      </c>
      <c r="H122" s="20">
        <f>Investment_Master!U122</f>
        <v>-4.1717015481008757E-2</v>
      </c>
      <c r="I122" s="17" t="str">
        <f>Investment_Master!AH122</f>
        <v>Below Target</v>
      </c>
      <c r="J122" s="17" t="str">
        <f>Investment_Master!AB122</f>
        <v>Watch</v>
      </c>
      <c r="K122" s="17" t="str">
        <f>Investment_Master!AC122</f>
        <v>Review / Restructure</v>
      </c>
    </row>
    <row r="123" spans="1:11" ht="15" customHeight="1" x14ac:dyDescent="0.25">
      <c r="A123" s="17" t="str">
        <f>Investment_Master!A123</f>
        <v>INV-119</v>
      </c>
      <c r="B123" s="17" t="str">
        <f>Investment_Master!B123</f>
        <v>Leadership Development – North</v>
      </c>
      <c r="C123" s="17" t="str">
        <f>Investment_Master!C123</f>
        <v>Training</v>
      </c>
      <c r="D123" s="17" t="str">
        <f>Investment_Master!D123</f>
        <v>Product</v>
      </c>
      <c r="E123" s="19">
        <f>Investment_Master!J123</f>
        <v>6210000</v>
      </c>
      <c r="F123" s="20">
        <f>Investment_Master!S123</f>
        <v>-7.9991255952707452E-2</v>
      </c>
      <c r="G123" s="20">
        <f>Investment_Master!T123</f>
        <v>0.15</v>
      </c>
      <c r="H123" s="20">
        <f>Investment_Master!U123</f>
        <v>-0.22999125595270745</v>
      </c>
      <c r="I123" s="17" t="str">
        <f>Investment_Master!AH123</f>
        <v>Significantly Below Target</v>
      </c>
      <c r="J123" s="17" t="str">
        <f>Investment_Master!AB123</f>
        <v>Underperforming</v>
      </c>
      <c r="K123" s="17" t="str">
        <f>Investment_Master!AC123</f>
        <v>Review / Restructure</v>
      </c>
    </row>
    <row r="124" spans="1:11" ht="15" customHeight="1" x14ac:dyDescent="0.25">
      <c r="A124" s="17" t="str">
        <f>Investment_Master!A124</f>
        <v>INV-120</v>
      </c>
      <c r="B124" s="17" t="str">
        <f>Investment_Master!B124</f>
        <v>Plant Utility Upgrade – East</v>
      </c>
      <c r="C124" s="17" t="str">
        <f>Investment_Master!C124</f>
        <v>Infrastructure</v>
      </c>
      <c r="D124" s="17" t="str">
        <f>Investment_Master!D124</f>
        <v>Marketing</v>
      </c>
      <c r="E124" s="19">
        <f>Investment_Master!J124</f>
        <v>33840000</v>
      </c>
      <c r="F124" s="20">
        <f>Investment_Master!S124</f>
        <v>6.3249870744880823E-2</v>
      </c>
      <c r="G124" s="20">
        <f>Investment_Master!T124</f>
        <v>0.13</v>
      </c>
      <c r="H124" s="20">
        <f>Investment_Master!U124</f>
        <v>-6.6750129255119181E-2</v>
      </c>
      <c r="I124" s="17" t="str">
        <f>Investment_Master!AH124</f>
        <v>Significantly Below Target</v>
      </c>
      <c r="J124" s="17" t="str">
        <f>Investment_Master!AB124</f>
        <v>Watch</v>
      </c>
      <c r="K124" s="17" t="str">
        <f>Investment_Master!AC124</f>
        <v>Review / Restructure</v>
      </c>
    </row>
    <row r="125" spans="1:11" ht="15" customHeight="1" x14ac:dyDescent="0.25">
      <c r="A125" s="17" t="str">
        <f>Investment_Master!A125</f>
        <v>INV-121</v>
      </c>
      <c r="B125" s="17" t="str">
        <f>Investment_Master!B125</f>
        <v>ERP Cloud Migration – Central</v>
      </c>
      <c r="C125" s="17" t="str">
        <f>Investment_Master!C125</f>
        <v>Technology</v>
      </c>
      <c r="D125" s="17" t="str">
        <f>Investment_Master!D125</f>
        <v>HR</v>
      </c>
      <c r="E125" s="19">
        <f>Investment_Master!J125</f>
        <v>28430000</v>
      </c>
      <c r="F125" s="20">
        <f>Investment_Master!S125</f>
        <v>0.1458967420481688</v>
      </c>
      <c r="G125" s="20">
        <f>Investment_Master!T125</f>
        <v>0.2</v>
      </c>
      <c r="H125" s="20">
        <f>Investment_Master!U125</f>
        <v>-5.4103257951831213E-2</v>
      </c>
      <c r="I125" s="17" t="str">
        <f>Investment_Master!AH125</f>
        <v>Significantly Below Target</v>
      </c>
      <c r="J125" s="17" t="str">
        <f>Investment_Master!AB125</f>
        <v>Watch</v>
      </c>
      <c r="K125" s="17" t="str">
        <f>Investment_Master!AC125</f>
        <v>Review / Restructure</v>
      </c>
    </row>
    <row r="126" spans="1:11" ht="15" customHeight="1" x14ac:dyDescent="0.25">
      <c r="A126" s="17" t="str">
        <f>Investment_Master!A126</f>
        <v>INV-122</v>
      </c>
      <c r="B126" s="17" t="str">
        <f>Investment_Master!B126</f>
        <v>Brand Repositioning – South</v>
      </c>
      <c r="C126" s="17" t="str">
        <f>Investment_Master!C126</f>
        <v>Marketing</v>
      </c>
      <c r="D126" s="17" t="str">
        <f>Investment_Master!D126</f>
        <v>Supply Chain</v>
      </c>
      <c r="E126" s="19">
        <f>Investment_Master!J126</f>
        <v>13420000</v>
      </c>
      <c r="F126" s="20">
        <f>Investment_Master!S126</f>
        <v>0.2222791839566923</v>
      </c>
      <c r="G126" s="20">
        <f>Investment_Master!T126</f>
        <v>0.22</v>
      </c>
      <c r="H126" s="20">
        <f>Investment_Master!U126</f>
        <v>2.2791839566922989E-3</v>
      </c>
      <c r="I126" s="17" t="str">
        <f>Investment_Master!AH126</f>
        <v>On Target</v>
      </c>
      <c r="J126" s="17" t="str">
        <f>Investment_Master!AB126</f>
        <v>Watch</v>
      </c>
      <c r="K126" s="17" t="str">
        <f>Investment_Master!AC126</f>
        <v>Review / Restructure</v>
      </c>
    </row>
    <row r="127" spans="1:11" ht="15" customHeight="1" x14ac:dyDescent="0.25">
      <c r="A127" s="17" t="str">
        <f>Investment_Master!A127</f>
        <v>INV-123</v>
      </c>
      <c r="B127" s="17" t="str">
        <f>Investment_Master!B127</f>
        <v>Premium Product Line – West</v>
      </c>
      <c r="C127" s="17" t="str">
        <f>Investment_Master!C127</f>
        <v>Product Development</v>
      </c>
      <c r="D127" s="17" t="str">
        <f>Investment_Master!D127</f>
        <v>Operations</v>
      </c>
      <c r="E127" s="19">
        <f>Investment_Master!J127</f>
        <v>39910000</v>
      </c>
      <c r="F127" s="20">
        <f>Investment_Master!S127</f>
        <v>4.398127845598343E-2</v>
      </c>
      <c r="G127" s="20">
        <f>Investment_Master!T127</f>
        <v>0.24</v>
      </c>
      <c r="H127" s="20">
        <f>Investment_Master!U127</f>
        <v>-0.19601872154401656</v>
      </c>
      <c r="I127" s="17" t="str">
        <f>Investment_Master!AH127</f>
        <v>Significantly Below Target</v>
      </c>
      <c r="J127" s="17" t="str">
        <f>Investment_Master!AB127</f>
        <v>Underperforming</v>
      </c>
      <c r="K127" s="17" t="str">
        <f>Investment_Master!AC127</f>
        <v>Review / Restructure</v>
      </c>
    </row>
    <row r="128" spans="1:11" ht="15" customHeight="1" x14ac:dyDescent="0.25">
      <c r="A128" s="17" t="str">
        <f>Investment_Master!A128</f>
        <v>INV-124</v>
      </c>
      <c r="B128" s="17" t="str">
        <f>Investment_Master!B128</f>
        <v>Tier-2 City Expansion – North</v>
      </c>
      <c r="C128" s="17" t="str">
        <f>Investment_Master!C128</f>
        <v>Expansion</v>
      </c>
      <c r="D128" s="17" t="str">
        <f>Investment_Master!D128</f>
        <v>Finance</v>
      </c>
      <c r="E128" s="19">
        <f>Investment_Master!J128</f>
        <v>54680000</v>
      </c>
      <c r="F128" s="20">
        <f>Investment_Master!S128</f>
        <v>9.3275992333853308E-2</v>
      </c>
      <c r="G128" s="20">
        <f>Investment_Master!T128</f>
        <v>0.18</v>
      </c>
      <c r="H128" s="20">
        <f>Investment_Master!U128</f>
        <v>-8.6724007666146685E-2</v>
      </c>
      <c r="I128" s="17" t="str">
        <f>Investment_Master!AH128</f>
        <v>Significantly Below Target</v>
      </c>
      <c r="J128" s="17" t="str">
        <f>Investment_Master!AB128</f>
        <v>Watch</v>
      </c>
      <c r="K128" s="17" t="str">
        <f>Investment_Master!AC128</f>
        <v>Review / Restructure</v>
      </c>
    </row>
    <row r="129" spans="1:11" ht="15" customHeight="1" x14ac:dyDescent="0.25">
      <c r="A129" s="17" t="str">
        <f>Investment_Master!A129</f>
        <v>INV-125</v>
      </c>
      <c r="B129" s="17" t="str">
        <f>Investment_Master!B129</f>
        <v>Automated Packaging Line – East</v>
      </c>
      <c r="C129" s="17" t="str">
        <f>Investment_Master!C129</f>
        <v>Equipment</v>
      </c>
      <c r="D129" s="17" t="str">
        <f>Investment_Master!D129</f>
        <v>Sales</v>
      </c>
      <c r="E129" s="19">
        <f>Investment_Master!J129</f>
        <v>20260000</v>
      </c>
      <c r="F129" s="20">
        <f>Investment_Master!S129</f>
        <v>0.19437892493862891</v>
      </c>
      <c r="G129" s="20">
        <f>Investment_Master!T129</f>
        <v>0.17</v>
      </c>
      <c r="H129" s="20">
        <f>Investment_Master!U129</f>
        <v>2.4378924938628893E-2</v>
      </c>
      <c r="I129" s="17" t="str">
        <f>Investment_Master!AH129</f>
        <v>Above Target</v>
      </c>
      <c r="J129" s="17" t="str">
        <f>Investment_Master!AB129</f>
        <v>Watch</v>
      </c>
      <c r="K129" s="17" t="str">
        <f>Investment_Master!AC129</f>
        <v>Review / Restructure</v>
      </c>
    </row>
    <row r="130" spans="1:11" ht="15" customHeight="1" x14ac:dyDescent="0.25">
      <c r="A130" s="17" t="str">
        <f>Investment_Master!A130</f>
        <v>INV-126</v>
      </c>
      <c r="B130" s="17" t="str">
        <f>Investment_Master!B130</f>
        <v>RPA Finance Rollout – Central</v>
      </c>
      <c r="C130" s="17" t="str">
        <f>Investment_Master!C130</f>
        <v>Automation</v>
      </c>
      <c r="D130" s="17" t="str">
        <f>Investment_Master!D130</f>
        <v>IT</v>
      </c>
      <c r="E130" s="19">
        <f>Investment_Master!J130</f>
        <v>25020000</v>
      </c>
      <c r="F130" s="20">
        <f>Investment_Master!S130</f>
        <v>0.11206221261179219</v>
      </c>
      <c r="G130" s="20">
        <f>Investment_Master!T130</f>
        <v>0.25</v>
      </c>
      <c r="H130" s="20">
        <f>Investment_Master!U130</f>
        <v>-0.13793778738820781</v>
      </c>
      <c r="I130" s="17" t="str">
        <f>Investment_Master!AH130</f>
        <v>Significantly Below Target</v>
      </c>
      <c r="J130" s="17" t="str">
        <f>Investment_Master!AB130</f>
        <v>Underperforming</v>
      </c>
      <c r="K130" s="17" t="str">
        <f>Investment_Master!AC130</f>
        <v>Review / Restructure</v>
      </c>
    </row>
    <row r="131" spans="1:11" ht="15" customHeight="1" x14ac:dyDescent="0.25">
      <c r="A131" s="17" t="str">
        <f>Investment_Master!A131</f>
        <v>INV-127</v>
      </c>
      <c r="B131" s="17" t="str">
        <f>Investment_Master!B131</f>
        <v>Leadership Development – South</v>
      </c>
      <c r="C131" s="17" t="str">
        <f>Investment_Master!C131</f>
        <v>Training</v>
      </c>
      <c r="D131" s="17" t="str">
        <f>Investment_Master!D131</f>
        <v>Product</v>
      </c>
      <c r="E131" s="19">
        <f>Investment_Master!J131</f>
        <v>10260000</v>
      </c>
      <c r="F131" s="20">
        <f>Investment_Master!S131</f>
        <v>-1.6771385918470865E-2</v>
      </c>
      <c r="G131" s="20">
        <f>Investment_Master!T131</f>
        <v>0.15</v>
      </c>
      <c r="H131" s="20">
        <f>Investment_Master!U131</f>
        <v>-0.16677138591847085</v>
      </c>
      <c r="I131" s="17" t="str">
        <f>Investment_Master!AH131</f>
        <v>Significantly Below Target</v>
      </c>
      <c r="J131" s="17" t="str">
        <f>Investment_Master!AB131</f>
        <v>Underperforming</v>
      </c>
      <c r="K131" s="17" t="str">
        <f>Investment_Master!AC131</f>
        <v>Review / Restructure</v>
      </c>
    </row>
    <row r="132" spans="1:11" ht="15" customHeight="1" x14ac:dyDescent="0.25">
      <c r="A132" s="17" t="str">
        <f>Investment_Master!A132</f>
        <v>INV-128</v>
      </c>
      <c r="B132" s="17" t="str">
        <f>Investment_Master!B132</f>
        <v>Plant Utility Upgrade – West</v>
      </c>
      <c r="C132" s="17" t="str">
        <f>Investment_Master!C132</f>
        <v>Infrastructure</v>
      </c>
      <c r="D132" s="17" t="str">
        <f>Investment_Master!D132</f>
        <v>Marketing</v>
      </c>
      <c r="E132" s="19">
        <f>Investment_Master!J132</f>
        <v>41160000</v>
      </c>
      <c r="F132" s="20">
        <f>Investment_Master!S132</f>
        <v>5.1172710765170909E-2</v>
      </c>
      <c r="G132" s="20">
        <f>Investment_Master!T132</f>
        <v>0.13</v>
      </c>
      <c r="H132" s="20">
        <f>Investment_Master!U132</f>
        <v>-7.8827289234829095E-2</v>
      </c>
      <c r="I132" s="17" t="str">
        <f>Investment_Master!AH132</f>
        <v>Significantly Below Target</v>
      </c>
      <c r="J132" s="17" t="str">
        <f>Investment_Master!AB132</f>
        <v>Watch</v>
      </c>
      <c r="K132" s="17" t="str">
        <f>Investment_Master!AC132</f>
        <v>Review / Restructure</v>
      </c>
    </row>
    <row r="133" spans="1:11" ht="15" customHeight="1" x14ac:dyDescent="0.25">
      <c r="A133" s="17" t="str">
        <f>Investment_Master!A133</f>
        <v>INV-129</v>
      </c>
      <c r="B133" s="17" t="str">
        <f>Investment_Master!B133</f>
        <v>ERP Cloud Migration – North</v>
      </c>
      <c r="C133" s="17" t="str">
        <f>Investment_Master!C133</f>
        <v>Technology</v>
      </c>
      <c r="D133" s="17" t="str">
        <f>Investment_Master!D133</f>
        <v>HR</v>
      </c>
      <c r="E133" s="19">
        <f>Investment_Master!J133</f>
        <v>12250000</v>
      </c>
      <c r="F133" s="20">
        <f>Investment_Master!S133</f>
        <v>0.24307567856463774</v>
      </c>
      <c r="G133" s="20">
        <f>Investment_Master!T133</f>
        <v>0.2</v>
      </c>
      <c r="H133" s="20">
        <f>Investment_Master!U133</f>
        <v>4.3075678564637732E-2</v>
      </c>
      <c r="I133" s="17" t="str">
        <f>Investment_Master!AH133</f>
        <v>Above Target</v>
      </c>
      <c r="J133" s="17" t="str">
        <f>Investment_Master!AB133</f>
        <v>Watch</v>
      </c>
      <c r="K133" s="17" t="str">
        <f>Investment_Master!AC133</f>
        <v>Review / Restructure</v>
      </c>
    </row>
    <row r="134" spans="1:11" ht="15" customHeight="1" x14ac:dyDescent="0.25">
      <c r="A134" s="17" t="str">
        <f>Investment_Master!A134</f>
        <v>INV-130</v>
      </c>
      <c r="B134" s="17" t="str">
        <f>Investment_Master!B134</f>
        <v>Brand Repositioning – East</v>
      </c>
      <c r="C134" s="17" t="str">
        <f>Investment_Master!C134</f>
        <v>Marketing</v>
      </c>
      <c r="D134" s="17" t="str">
        <f>Investment_Master!D134</f>
        <v>Supply Chain</v>
      </c>
      <c r="E134" s="19">
        <f>Investment_Master!J134</f>
        <v>16720000</v>
      </c>
      <c r="F134" s="20">
        <f>Investment_Master!S134</f>
        <v>0.2867557533914199</v>
      </c>
      <c r="G134" s="20">
        <f>Investment_Master!T134</f>
        <v>0.22</v>
      </c>
      <c r="H134" s="20">
        <f>Investment_Master!U134</f>
        <v>6.6755753391419898E-2</v>
      </c>
      <c r="I134" s="17" t="str">
        <f>Investment_Master!AH134</f>
        <v>Significantly Above Target</v>
      </c>
      <c r="J134" s="17" t="str">
        <f>Investment_Master!AB134</f>
        <v>Watch</v>
      </c>
      <c r="K134" s="17" t="str">
        <f>Investment_Master!AC134</f>
        <v>Review / Restructure</v>
      </c>
    </row>
    <row r="135" spans="1:11" ht="15" customHeight="1" x14ac:dyDescent="0.25">
      <c r="A135" s="17" t="str">
        <f>Investment_Master!A135</f>
        <v>INV-131</v>
      </c>
      <c r="B135" s="17" t="str">
        <f>Investment_Master!B135</f>
        <v>Premium Product Line – Central</v>
      </c>
      <c r="C135" s="17" t="str">
        <f>Investment_Master!C135</f>
        <v>Product Development</v>
      </c>
      <c r="D135" s="17" t="str">
        <f>Investment_Master!D135</f>
        <v>Operations</v>
      </c>
      <c r="E135" s="19">
        <f>Investment_Master!J135</f>
        <v>32900000</v>
      </c>
      <c r="F135" s="20">
        <f>Investment_Master!S135</f>
        <v>1.3841037399731011E-2</v>
      </c>
      <c r="G135" s="20">
        <f>Investment_Master!T135</f>
        <v>0.24</v>
      </c>
      <c r="H135" s="20">
        <f>Investment_Master!U135</f>
        <v>-0.22615896260026899</v>
      </c>
      <c r="I135" s="17" t="str">
        <f>Investment_Master!AH135</f>
        <v>Significantly Below Target</v>
      </c>
      <c r="J135" s="17" t="str">
        <f>Investment_Master!AB135</f>
        <v>Underperforming</v>
      </c>
      <c r="K135" s="17" t="str">
        <f>Investment_Master!AC135</f>
        <v>Review / Restructure</v>
      </c>
    </row>
    <row r="136" spans="1:11" ht="15" customHeight="1" x14ac:dyDescent="0.25">
      <c r="A136" s="17" t="str">
        <f>Investment_Master!A136</f>
        <v>INV-132</v>
      </c>
      <c r="B136" s="17" t="str">
        <f>Investment_Master!B136</f>
        <v>Tier-2 City Expansion – South</v>
      </c>
      <c r="C136" s="17" t="str">
        <f>Investment_Master!C136</f>
        <v>Expansion</v>
      </c>
      <c r="D136" s="17" t="str">
        <f>Investment_Master!D136</f>
        <v>Finance</v>
      </c>
      <c r="E136" s="19">
        <f>Investment_Master!J136</f>
        <v>27850000</v>
      </c>
      <c r="F136" s="20">
        <f>Investment_Master!S136</f>
        <v>0.16513974069513179</v>
      </c>
      <c r="G136" s="20">
        <f>Investment_Master!T136</f>
        <v>0.18</v>
      </c>
      <c r="H136" s="20">
        <f>Investment_Master!U136</f>
        <v>-1.4860259304868201E-2</v>
      </c>
      <c r="I136" s="17" t="str">
        <f>Investment_Master!AH136</f>
        <v>On Target</v>
      </c>
      <c r="J136" s="17" t="str">
        <f>Investment_Master!AB136</f>
        <v>Watch</v>
      </c>
      <c r="K136" s="17" t="str">
        <f>Investment_Master!AC136</f>
        <v>Review / Restructure</v>
      </c>
    </row>
    <row r="137" spans="1:11" ht="15" customHeight="1" x14ac:dyDescent="0.25">
      <c r="A137" s="17" t="str">
        <f>Investment_Master!A137</f>
        <v>INV-133</v>
      </c>
      <c r="B137" s="17" t="str">
        <f>Investment_Master!B137</f>
        <v>Automated Packaging Line – West</v>
      </c>
      <c r="C137" s="17" t="str">
        <f>Investment_Master!C137</f>
        <v>Equipment</v>
      </c>
      <c r="D137" s="17" t="str">
        <f>Investment_Master!D137</f>
        <v>Sales</v>
      </c>
      <c r="E137" s="19">
        <f>Investment_Master!J137</f>
        <v>18280000</v>
      </c>
      <c r="F137" s="20">
        <f>Investment_Master!S137</f>
        <v>0.18349638643799496</v>
      </c>
      <c r="G137" s="20">
        <f>Investment_Master!T137</f>
        <v>0.17</v>
      </c>
      <c r="H137" s="20">
        <f>Investment_Master!U137</f>
        <v>1.3496386437994945E-2</v>
      </c>
      <c r="I137" s="17" t="str">
        <f>Investment_Master!AH137</f>
        <v>On Target</v>
      </c>
      <c r="J137" s="17" t="str">
        <f>Investment_Master!AB137</f>
        <v>Watch</v>
      </c>
      <c r="K137" s="17" t="str">
        <f>Investment_Master!AC137</f>
        <v>Review / Restructure</v>
      </c>
    </row>
    <row r="138" spans="1:11" ht="15" customHeight="1" x14ac:dyDescent="0.25">
      <c r="A138" s="17" t="str">
        <f>Investment_Master!A138</f>
        <v>INV-134</v>
      </c>
      <c r="B138" s="17" t="str">
        <f>Investment_Master!B138</f>
        <v>RPA Finance Rollout – North</v>
      </c>
      <c r="C138" s="17" t="str">
        <f>Investment_Master!C138</f>
        <v>Automation</v>
      </c>
      <c r="D138" s="17" t="str">
        <f>Investment_Master!D138</f>
        <v>IT</v>
      </c>
      <c r="E138" s="19">
        <f>Investment_Master!J138</f>
        <v>12530000</v>
      </c>
      <c r="F138" s="20">
        <f>Investment_Master!S138</f>
        <v>0.18048373729977177</v>
      </c>
      <c r="G138" s="20">
        <f>Investment_Master!T138</f>
        <v>0.25</v>
      </c>
      <c r="H138" s="20">
        <f>Investment_Master!U138</f>
        <v>-6.9516262700228232E-2</v>
      </c>
      <c r="I138" s="17" t="str">
        <f>Investment_Master!AH138</f>
        <v>Significantly Below Target</v>
      </c>
      <c r="J138" s="17" t="str">
        <f>Investment_Master!AB138</f>
        <v>Underperforming</v>
      </c>
      <c r="K138" s="17" t="str">
        <f>Investment_Master!AC138</f>
        <v>Review / Restructure</v>
      </c>
    </row>
    <row r="139" spans="1:11" ht="15" customHeight="1" x14ac:dyDescent="0.25">
      <c r="A139" s="17" t="str">
        <f>Investment_Master!A139</f>
        <v>INV-135</v>
      </c>
      <c r="B139" s="17" t="str">
        <f>Investment_Master!B139</f>
        <v>Leadership Development – East</v>
      </c>
      <c r="C139" s="17" t="str">
        <f>Investment_Master!C139</f>
        <v>Training</v>
      </c>
      <c r="D139" s="17" t="str">
        <f>Investment_Master!D139</f>
        <v>Product</v>
      </c>
      <c r="E139" s="19">
        <f>Investment_Master!J139</f>
        <v>3300000</v>
      </c>
      <c r="F139" s="20">
        <f>Investment_Master!S139</f>
        <v>-4.3602787697340335E-2</v>
      </c>
      <c r="G139" s="20">
        <f>Investment_Master!T139</f>
        <v>0.15</v>
      </c>
      <c r="H139" s="20">
        <f>Investment_Master!U139</f>
        <v>-0.19360278769734032</v>
      </c>
      <c r="I139" s="17" t="str">
        <f>Investment_Master!AH139</f>
        <v>Significantly Below Target</v>
      </c>
      <c r="J139" s="17" t="str">
        <f>Investment_Master!AB139</f>
        <v>Underperforming</v>
      </c>
      <c r="K139" s="17" t="str">
        <f>Investment_Master!AC139</f>
        <v>Review / Restructure</v>
      </c>
    </row>
    <row r="140" spans="1:11" ht="15" customHeight="1" x14ac:dyDescent="0.25">
      <c r="A140" s="17" t="str">
        <f>Investment_Master!A140</f>
        <v>INV-136</v>
      </c>
      <c r="B140" s="17" t="str">
        <f>Investment_Master!B140</f>
        <v>Plant Utility Upgrade – Central</v>
      </c>
      <c r="C140" s="17" t="str">
        <f>Investment_Master!C140</f>
        <v>Infrastructure</v>
      </c>
      <c r="D140" s="17" t="str">
        <f>Investment_Master!D140</f>
        <v>Marketing</v>
      </c>
      <c r="E140" s="19">
        <f>Investment_Master!J140</f>
        <v>40580000</v>
      </c>
      <c r="F140" s="20">
        <f>Investment_Master!S140</f>
        <v>6.401628743897593E-2</v>
      </c>
      <c r="G140" s="20">
        <f>Investment_Master!T140</f>
        <v>0.13</v>
      </c>
      <c r="H140" s="20">
        <f>Investment_Master!U140</f>
        <v>-6.5983712561024074E-2</v>
      </c>
      <c r="I140" s="17" t="str">
        <f>Investment_Master!AH140</f>
        <v>Significantly Below Target</v>
      </c>
      <c r="J140" s="17" t="str">
        <f>Investment_Master!AB140</f>
        <v>Watch</v>
      </c>
      <c r="K140" s="17" t="str">
        <f>Investment_Master!AC140</f>
        <v>Review / Restructure</v>
      </c>
    </row>
    <row r="141" spans="1:11" ht="15" customHeight="1" x14ac:dyDescent="0.25">
      <c r="A141" s="17" t="str">
        <f>Investment_Master!A141</f>
        <v>INV-137</v>
      </c>
      <c r="B141" s="17" t="str">
        <f>Investment_Master!B141</f>
        <v>ERP Cloud Migration – South</v>
      </c>
      <c r="C141" s="17" t="str">
        <f>Investment_Master!C141</f>
        <v>Technology</v>
      </c>
      <c r="D141" s="17" t="str">
        <f>Investment_Master!D141</f>
        <v>HR</v>
      </c>
      <c r="E141" s="19">
        <f>Investment_Master!J141</f>
        <v>11500000</v>
      </c>
      <c r="F141" s="20">
        <f>Investment_Master!S141</f>
        <v>0.29627862380912234</v>
      </c>
      <c r="G141" s="20">
        <f>Investment_Master!T141</f>
        <v>0.2</v>
      </c>
      <c r="H141" s="20">
        <f>Investment_Master!U141</f>
        <v>9.6278623809122332E-2</v>
      </c>
      <c r="I141" s="17" t="str">
        <f>Investment_Master!AH141</f>
        <v>Significantly Above Target</v>
      </c>
      <c r="J141" s="17" t="str">
        <f>Investment_Master!AB141</f>
        <v>Watch</v>
      </c>
      <c r="K141" s="17" t="str">
        <f>Investment_Master!AC141</f>
        <v>Review / Restructure</v>
      </c>
    </row>
    <row r="142" spans="1:11" ht="15" customHeight="1" x14ac:dyDescent="0.25">
      <c r="A142" s="17" t="str">
        <f>Investment_Master!A142</f>
        <v>INV-138</v>
      </c>
      <c r="B142" s="17" t="str">
        <f>Investment_Master!B142</f>
        <v>Brand Repositioning – West</v>
      </c>
      <c r="C142" s="17" t="str">
        <f>Investment_Master!C142</f>
        <v>Marketing</v>
      </c>
      <c r="D142" s="17" t="str">
        <f>Investment_Master!D142</f>
        <v>Supply Chain</v>
      </c>
      <c r="E142" s="19">
        <f>Investment_Master!J142</f>
        <v>15570000</v>
      </c>
      <c r="F142" s="20">
        <f>Investment_Master!S142</f>
        <v>0.15806466059208721</v>
      </c>
      <c r="G142" s="20">
        <f>Investment_Master!T142</f>
        <v>0.22</v>
      </c>
      <c r="H142" s="20">
        <f>Investment_Master!U142</f>
        <v>-6.1935339407912793E-2</v>
      </c>
      <c r="I142" s="17" t="str">
        <f>Investment_Master!AH142</f>
        <v>Significantly Below Target</v>
      </c>
      <c r="J142" s="17" t="str">
        <f>Investment_Master!AB142</f>
        <v>Watch</v>
      </c>
      <c r="K142" s="17" t="str">
        <f>Investment_Master!AC142</f>
        <v>Review / Restructure</v>
      </c>
    </row>
    <row r="143" spans="1:11" ht="15" customHeight="1" x14ac:dyDescent="0.25">
      <c r="A143" s="17" t="str">
        <f>Investment_Master!A143</f>
        <v>INV-139</v>
      </c>
      <c r="B143" s="17" t="str">
        <f>Investment_Master!B143</f>
        <v>Premium Product Line – North</v>
      </c>
      <c r="C143" s="17" t="str">
        <f>Investment_Master!C143</f>
        <v>Product Development</v>
      </c>
      <c r="D143" s="17" t="str">
        <f>Investment_Master!D143</f>
        <v>Operations</v>
      </c>
      <c r="E143" s="19">
        <f>Investment_Master!J143</f>
        <v>16640000</v>
      </c>
      <c r="F143" s="20">
        <f>Investment_Master!S143</f>
        <v>6.8214394237036596E-2</v>
      </c>
      <c r="G143" s="20">
        <f>Investment_Master!T143</f>
        <v>0.24</v>
      </c>
      <c r="H143" s="20">
        <f>Investment_Master!U143</f>
        <v>-0.17178560576296339</v>
      </c>
      <c r="I143" s="17" t="str">
        <f>Investment_Master!AH143</f>
        <v>Significantly Below Target</v>
      </c>
      <c r="J143" s="17" t="str">
        <f>Investment_Master!AB143</f>
        <v>Underperforming</v>
      </c>
      <c r="K143" s="17" t="str">
        <f>Investment_Master!AC143</f>
        <v>Review / Restructure</v>
      </c>
    </row>
    <row r="144" spans="1:11" ht="15" customHeight="1" x14ac:dyDescent="0.25">
      <c r="A144" s="17" t="str">
        <f>Investment_Master!A144</f>
        <v>INV-140</v>
      </c>
      <c r="B144" s="17" t="str">
        <f>Investment_Master!B144</f>
        <v>Tier-2 City Expansion – East</v>
      </c>
      <c r="C144" s="17" t="str">
        <f>Investment_Master!C144</f>
        <v>Expansion</v>
      </c>
      <c r="D144" s="17" t="str">
        <f>Investment_Master!D144</f>
        <v>Finance</v>
      </c>
      <c r="E144" s="19">
        <f>Investment_Master!J144</f>
        <v>65110000</v>
      </c>
      <c r="F144" s="20">
        <f>Investment_Master!S144</f>
        <v>4.3882130248093044E-2</v>
      </c>
      <c r="G144" s="20">
        <f>Investment_Master!T144</f>
        <v>0.18</v>
      </c>
      <c r="H144" s="20">
        <f>Investment_Master!U144</f>
        <v>-0.13611786975190696</v>
      </c>
      <c r="I144" s="17" t="str">
        <f>Investment_Master!AH144</f>
        <v>Significantly Below Target</v>
      </c>
      <c r="J144" s="17" t="str">
        <f>Investment_Master!AB144</f>
        <v>Underperforming</v>
      </c>
      <c r="K144" s="17" t="str">
        <f>Investment_Master!AC144</f>
        <v>Review / Restructure</v>
      </c>
    </row>
    <row r="145" spans="1:11" ht="15" customHeight="1" x14ac:dyDescent="0.25">
      <c r="A145" s="17" t="str">
        <f>Investment_Master!A145</f>
        <v>INV-141</v>
      </c>
      <c r="B145" s="17" t="str">
        <f>Investment_Master!B145</f>
        <v>Automated Packaging Line – Central</v>
      </c>
      <c r="C145" s="17" t="str">
        <f>Investment_Master!C145</f>
        <v>Equipment</v>
      </c>
      <c r="D145" s="17" t="str">
        <f>Investment_Master!D145</f>
        <v>Sales</v>
      </c>
      <c r="E145" s="19">
        <f>Investment_Master!J145</f>
        <v>17330000</v>
      </c>
      <c r="F145" s="20">
        <f>Investment_Master!S145</f>
        <v>4.3831115375555715E-2</v>
      </c>
      <c r="G145" s="20">
        <f>Investment_Master!T145</f>
        <v>0.17</v>
      </c>
      <c r="H145" s="20">
        <f>Investment_Master!U145</f>
        <v>-0.12616888462444431</v>
      </c>
      <c r="I145" s="17" t="str">
        <f>Investment_Master!AH145</f>
        <v>Significantly Below Target</v>
      </c>
      <c r="J145" s="17" t="str">
        <f>Investment_Master!AB145</f>
        <v>Underperforming</v>
      </c>
      <c r="K145" s="17" t="str">
        <f>Investment_Master!AC145</f>
        <v>Review / Restructure</v>
      </c>
    </row>
    <row r="146" spans="1:11" ht="15" customHeight="1" x14ac:dyDescent="0.25">
      <c r="A146" s="17" t="str">
        <f>Investment_Master!A146</f>
        <v>INV-142</v>
      </c>
      <c r="B146" s="17" t="str">
        <f>Investment_Master!B146</f>
        <v>RPA Finance Rollout – South</v>
      </c>
      <c r="C146" s="17" t="str">
        <f>Investment_Master!C146</f>
        <v>Automation</v>
      </c>
      <c r="D146" s="17" t="str">
        <f>Investment_Master!D146</f>
        <v>IT</v>
      </c>
      <c r="E146" s="19">
        <f>Investment_Master!J146</f>
        <v>22060000</v>
      </c>
      <c r="F146" s="20">
        <f>Investment_Master!S146</f>
        <v>0.14063473962505846</v>
      </c>
      <c r="G146" s="20">
        <f>Investment_Master!T146</f>
        <v>0.25</v>
      </c>
      <c r="H146" s="20">
        <f>Investment_Master!U146</f>
        <v>-0.10936526037494154</v>
      </c>
      <c r="I146" s="17" t="str">
        <f>Investment_Master!AH146</f>
        <v>Significantly Below Target</v>
      </c>
      <c r="J146" s="17" t="str">
        <f>Investment_Master!AB146</f>
        <v>Underperforming</v>
      </c>
      <c r="K146" s="17" t="str">
        <f>Investment_Master!AC146</f>
        <v>Review / Restructure</v>
      </c>
    </row>
    <row r="147" spans="1:11" ht="15" customHeight="1" x14ac:dyDescent="0.25">
      <c r="A147" s="17" t="str">
        <f>Investment_Master!A147</f>
        <v>INV-143</v>
      </c>
      <c r="B147" s="17" t="str">
        <f>Investment_Master!B147</f>
        <v>Leadership Development – West</v>
      </c>
      <c r="C147" s="17" t="str">
        <f>Investment_Master!C147</f>
        <v>Training</v>
      </c>
      <c r="D147" s="17" t="str">
        <f>Investment_Master!D147</f>
        <v>Product</v>
      </c>
      <c r="E147" s="19">
        <f>Investment_Master!J147</f>
        <v>10700000</v>
      </c>
      <c r="F147" s="20">
        <f>Investment_Master!S147</f>
        <v>8.974614720505392E-3</v>
      </c>
      <c r="G147" s="20">
        <f>Investment_Master!T147</f>
        <v>0.15</v>
      </c>
      <c r="H147" s="20">
        <f>Investment_Master!U147</f>
        <v>-0.1410253852794946</v>
      </c>
      <c r="I147" s="17" t="str">
        <f>Investment_Master!AH147</f>
        <v>Significantly Below Target</v>
      </c>
      <c r="J147" s="17" t="str">
        <f>Investment_Master!AB147</f>
        <v>Underperforming</v>
      </c>
      <c r="K147" s="17" t="str">
        <f>Investment_Master!AC147</f>
        <v>Review / Restructure</v>
      </c>
    </row>
    <row r="148" spans="1:11" ht="15" customHeight="1" x14ac:dyDescent="0.25">
      <c r="A148" s="17" t="str">
        <f>Investment_Master!A148</f>
        <v>INV-144</v>
      </c>
      <c r="B148" s="17" t="str">
        <f>Investment_Master!B148</f>
        <v>Plant Utility Upgrade – North</v>
      </c>
      <c r="C148" s="17" t="str">
        <f>Investment_Master!C148</f>
        <v>Infrastructure</v>
      </c>
      <c r="D148" s="17" t="str">
        <f>Investment_Master!D148</f>
        <v>Marketing</v>
      </c>
      <c r="E148" s="19">
        <f>Investment_Master!J148</f>
        <v>36800000</v>
      </c>
      <c r="F148" s="20">
        <f>Investment_Master!S148</f>
        <v>4.074152496521888E-3</v>
      </c>
      <c r="G148" s="20">
        <f>Investment_Master!T148</f>
        <v>0.13</v>
      </c>
      <c r="H148" s="20">
        <f>Investment_Master!U148</f>
        <v>-0.12592584750347813</v>
      </c>
      <c r="I148" s="17" t="str">
        <f>Investment_Master!AH148</f>
        <v>Significantly Below Target</v>
      </c>
      <c r="J148" s="17" t="str">
        <f>Investment_Master!AB148</f>
        <v>Underperforming</v>
      </c>
      <c r="K148" s="17" t="str">
        <f>Investment_Master!AC148</f>
        <v>Review / Restructure</v>
      </c>
    </row>
    <row r="149" spans="1:11" ht="15" customHeight="1" x14ac:dyDescent="0.25">
      <c r="A149" s="17" t="str">
        <f>Investment_Master!A149</f>
        <v>INV-145</v>
      </c>
      <c r="B149" s="17" t="str">
        <f>Investment_Master!B149</f>
        <v>ERP Cloud Migration – East</v>
      </c>
      <c r="C149" s="17" t="str">
        <f>Investment_Master!C149</f>
        <v>Technology</v>
      </c>
      <c r="D149" s="17" t="str">
        <f>Investment_Master!D149</f>
        <v>HR</v>
      </c>
      <c r="E149" s="19">
        <f>Investment_Master!J149</f>
        <v>9940000</v>
      </c>
      <c r="F149" s="20">
        <f>Investment_Master!S149</f>
        <v>0.16502203160791939</v>
      </c>
      <c r="G149" s="20">
        <f>Investment_Master!T149</f>
        <v>0.2</v>
      </c>
      <c r="H149" s="20">
        <f>Investment_Master!U149</f>
        <v>-3.4977968392080616E-2</v>
      </c>
      <c r="I149" s="17" t="str">
        <f>Investment_Master!AH149</f>
        <v>Below Target</v>
      </c>
      <c r="J149" s="17" t="str">
        <f>Investment_Master!AB149</f>
        <v>Watch</v>
      </c>
      <c r="K149" s="17" t="str">
        <f>Investment_Master!AC149</f>
        <v>Review / Restructure</v>
      </c>
    </row>
    <row r="150" spans="1:11" ht="15" customHeight="1" x14ac:dyDescent="0.25">
      <c r="A150" s="17" t="str">
        <f>Investment_Master!A150</f>
        <v>INV-146</v>
      </c>
      <c r="B150" s="17" t="str">
        <f>Investment_Master!B150</f>
        <v>Brand Repositioning – Central</v>
      </c>
      <c r="C150" s="17" t="str">
        <f>Investment_Master!C150</f>
        <v>Marketing</v>
      </c>
      <c r="D150" s="17" t="str">
        <f>Investment_Master!D150</f>
        <v>Supply Chain</v>
      </c>
      <c r="E150" s="19">
        <f>Investment_Master!J150</f>
        <v>20540000</v>
      </c>
      <c r="F150" s="20">
        <f>Investment_Master!S150</f>
        <v>0.12373786579943076</v>
      </c>
      <c r="G150" s="20">
        <f>Investment_Master!T150</f>
        <v>0.22</v>
      </c>
      <c r="H150" s="20">
        <f>Investment_Master!U150</f>
        <v>-9.6262134200569241E-2</v>
      </c>
      <c r="I150" s="17" t="str">
        <f>Investment_Master!AH150</f>
        <v>Significantly Below Target</v>
      </c>
      <c r="J150" s="17" t="str">
        <f>Investment_Master!AB150</f>
        <v>Underperforming</v>
      </c>
      <c r="K150" s="17" t="str">
        <f>Investment_Master!AC150</f>
        <v>Review / Restructure</v>
      </c>
    </row>
    <row r="151" spans="1:11" ht="15" customHeight="1" x14ac:dyDescent="0.25">
      <c r="A151" s="17" t="str">
        <f>Investment_Master!A151</f>
        <v>INV-147</v>
      </c>
      <c r="B151" s="17" t="str">
        <f>Investment_Master!B151</f>
        <v>Premium Product Line – South</v>
      </c>
      <c r="C151" s="17" t="str">
        <f>Investment_Master!C151</f>
        <v>Product Development</v>
      </c>
      <c r="D151" s="17" t="str">
        <f>Investment_Master!D151</f>
        <v>Operations</v>
      </c>
      <c r="E151" s="19">
        <f>Investment_Master!J151</f>
        <v>25030000</v>
      </c>
      <c r="F151" s="20">
        <f>Investment_Master!S151</f>
        <v>1.2848234911383842E-2</v>
      </c>
      <c r="G151" s="20">
        <f>Investment_Master!T151</f>
        <v>0.24</v>
      </c>
      <c r="H151" s="20">
        <f>Investment_Master!U151</f>
        <v>-0.22715176508861615</v>
      </c>
      <c r="I151" s="17" t="str">
        <f>Investment_Master!AH151</f>
        <v>Significantly Below Target</v>
      </c>
      <c r="J151" s="17" t="str">
        <f>Investment_Master!AB151</f>
        <v>Underperforming</v>
      </c>
      <c r="K151" s="17" t="str">
        <f>Investment_Master!AC151</f>
        <v>Review / Restructure</v>
      </c>
    </row>
    <row r="152" spans="1:11" ht="15" customHeight="1" x14ac:dyDescent="0.25">
      <c r="A152" s="17" t="str">
        <f>Investment_Master!A152</f>
        <v>INV-148</v>
      </c>
      <c r="B152" s="17" t="str">
        <f>Investment_Master!B152</f>
        <v>Tier-2 City Expansion – West</v>
      </c>
      <c r="C152" s="17" t="str">
        <f>Investment_Master!C152</f>
        <v>Expansion</v>
      </c>
      <c r="D152" s="17" t="str">
        <f>Investment_Master!D152</f>
        <v>Finance</v>
      </c>
      <c r="E152" s="19">
        <f>Investment_Master!J152</f>
        <v>22800000</v>
      </c>
      <c r="F152" s="20">
        <f>Investment_Master!S152</f>
        <v>0.17813972329163857</v>
      </c>
      <c r="G152" s="20">
        <f>Investment_Master!T152</f>
        <v>0.18</v>
      </c>
      <c r="H152" s="20">
        <f>Investment_Master!U152</f>
        <v>-1.8602767083614191E-3</v>
      </c>
      <c r="I152" s="17" t="str">
        <f>Investment_Master!AH152</f>
        <v>On Target</v>
      </c>
      <c r="J152" s="17" t="str">
        <f>Investment_Master!AB152</f>
        <v>Watch</v>
      </c>
      <c r="K152" s="17" t="str">
        <f>Investment_Master!AC152</f>
        <v>Review / Restructure</v>
      </c>
    </row>
    <row r="153" spans="1:11" ht="15" customHeight="1" x14ac:dyDescent="0.25">
      <c r="A153" s="17" t="str">
        <f>Investment_Master!A153</f>
        <v>INV-149</v>
      </c>
      <c r="B153" s="17" t="str">
        <f>Investment_Master!B153</f>
        <v>Automated Packaging Line – North</v>
      </c>
      <c r="C153" s="17" t="str">
        <f>Investment_Master!C153</f>
        <v>Equipment</v>
      </c>
      <c r="D153" s="17" t="str">
        <f>Investment_Master!D153</f>
        <v>Sales</v>
      </c>
      <c r="E153" s="19">
        <f>Investment_Master!J153</f>
        <v>36690000</v>
      </c>
      <c r="F153" s="20">
        <f>Investment_Master!S153</f>
        <v>0.15537627275190613</v>
      </c>
      <c r="G153" s="20">
        <f>Investment_Master!T153</f>
        <v>0.17</v>
      </c>
      <c r="H153" s="20">
        <f>Investment_Master!U153</f>
        <v>-1.4623727248093882E-2</v>
      </c>
      <c r="I153" s="17" t="str">
        <f>Investment_Master!AH153</f>
        <v>On Target</v>
      </c>
      <c r="J153" s="17" t="str">
        <f>Investment_Master!AB153</f>
        <v>Watch</v>
      </c>
      <c r="K153" s="17" t="str">
        <f>Investment_Master!AC153</f>
        <v>Review / Restructure</v>
      </c>
    </row>
    <row r="154" spans="1:11" ht="15" customHeight="1" x14ac:dyDescent="0.25">
      <c r="A154" s="17" t="str">
        <f>Investment_Master!A154</f>
        <v>INV-150</v>
      </c>
      <c r="B154" s="17" t="str">
        <f>Investment_Master!B154</f>
        <v>RPA Finance Rollout – East</v>
      </c>
      <c r="C154" s="17" t="str">
        <f>Investment_Master!C154</f>
        <v>Automation</v>
      </c>
      <c r="D154" s="17" t="str">
        <f>Investment_Master!D154</f>
        <v>IT</v>
      </c>
      <c r="E154" s="19">
        <f>Investment_Master!J154</f>
        <v>17760000</v>
      </c>
      <c r="F154" s="20">
        <f>Investment_Master!S154</f>
        <v>0.19106333980505472</v>
      </c>
      <c r="G154" s="20">
        <f>Investment_Master!T154</f>
        <v>0.25</v>
      </c>
      <c r="H154" s="20">
        <f>Investment_Master!U154</f>
        <v>-5.8936660194945284E-2</v>
      </c>
      <c r="I154" s="17" t="str">
        <f>Investment_Master!AH154</f>
        <v>Significantly Below Target</v>
      </c>
      <c r="J154" s="17" t="str">
        <f>Investment_Master!AB154</f>
        <v>Watch</v>
      </c>
      <c r="K154" s="17" t="str">
        <f>Investment_Master!AC154</f>
        <v>Review / Restructure</v>
      </c>
    </row>
  </sheetData>
  <mergeCells count="2">
    <mergeCell ref="A1:H1"/>
    <mergeCell ref="A2:H2"/>
  </mergeCells>
  <conditionalFormatting sqref="H5:H154">
    <cfRule type="colorScale" priority="2">
      <colorScale>
        <cfvo type="num" val="-0.1"/>
        <cfvo type="num" val="0"/>
        <cfvo type="num" val="0.1"/>
        <color rgb="FFC00000"/>
        <color rgb="FFFFD966"/>
        <color rgb="FF70AD47"/>
      </colorScale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54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customHeight="1" x14ac:dyDescent="0.25"/>
  <cols>
    <col min="1" max="1" width="14" style="15" customWidth="1"/>
    <col min="2" max="2" width="34" style="15" customWidth="1"/>
    <col min="3" max="3" width="18" style="15" customWidth="1"/>
    <col min="4" max="4" width="14" style="15" customWidth="1"/>
    <col min="5" max="10" width="16" style="15" customWidth="1"/>
    <col min="11" max="11" width="18" style="15" customWidth="1"/>
    <col min="12" max="12" width="12" style="15" customWidth="1"/>
    <col min="13" max="13" width="14" style="15" customWidth="1"/>
  </cols>
  <sheetData>
    <row r="1" spans="1:13" ht="30" customHeight="1" x14ac:dyDescent="0.25">
      <c r="A1" s="14" t="s">
        <v>265</v>
      </c>
      <c r="B1" s="14"/>
      <c r="C1" s="14"/>
      <c r="D1" s="14"/>
      <c r="E1" s="14"/>
      <c r="F1" s="14"/>
      <c r="G1" s="14"/>
      <c r="H1" s="14"/>
    </row>
    <row r="2" spans="1:13" ht="19.5" customHeight="1" x14ac:dyDescent="0.25">
      <c r="A2" s="13" t="s">
        <v>266</v>
      </c>
      <c r="B2" s="13"/>
      <c r="C2" s="13"/>
      <c r="D2" s="13"/>
      <c r="E2" s="13"/>
      <c r="F2" s="13"/>
      <c r="G2" s="13"/>
      <c r="H2" s="13"/>
    </row>
    <row r="4" spans="1:13" ht="27.75" customHeight="1" x14ac:dyDescent="0.25">
      <c r="A4" s="16" t="s">
        <v>2</v>
      </c>
      <c r="B4" s="16" t="s">
        <v>3</v>
      </c>
      <c r="C4" s="16" t="s">
        <v>267</v>
      </c>
      <c r="D4" s="16" t="s">
        <v>268</v>
      </c>
      <c r="E4" s="16" t="s">
        <v>269</v>
      </c>
      <c r="F4" s="16" t="s">
        <v>270</v>
      </c>
      <c r="G4" s="16" t="s">
        <v>271</v>
      </c>
      <c r="H4" s="16" t="s">
        <v>272</v>
      </c>
      <c r="I4" s="16" t="s">
        <v>273</v>
      </c>
      <c r="J4" s="16" t="s">
        <v>274</v>
      </c>
      <c r="K4" s="16" t="s">
        <v>245</v>
      </c>
      <c r="L4" s="16" t="s">
        <v>275</v>
      </c>
      <c r="M4" s="16" t="s">
        <v>276</v>
      </c>
    </row>
    <row r="5" spans="1:13" ht="15" customHeight="1" x14ac:dyDescent="0.25">
      <c r="A5" s="17" t="str">
        <f>Investment_Master!A5</f>
        <v>INV-001</v>
      </c>
      <c r="B5" s="17" t="str">
        <f>Investment_Master!B5</f>
        <v>ERP Cloud Migration – Central</v>
      </c>
      <c r="C5" s="19">
        <f>Investment_Master!J5</f>
        <v>36250000</v>
      </c>
      <c r="D5" s="20">
        <f>Investment_Master!Y5</f>
        <v>0.11</v>
      </c>
      <c r="E5" s="19">
        <f t="shared" ref="E5:E36" si="0">-C5</f>
        <v>-36250000</v>
      </c>
      <c r="F5" s="19">
        <f>Investment_Master!Q5/5</f>
        <v>9180696.854915265</v>
      </c>
      <c r="G5" s="19">
        <f>Investment_Master!Q5/5</f>
        <v>9180696.854915265</v>
      </c>
      <c r="H5" s="19">
        <f>Investment_Master!Q5/5</f>
        <v>9180696.854915265</v>
      </c>
      <c r="I5" s="19">
        <f>Investment_Master!Q5/5</f>
        <v>9180696.854915265</v>
      </c>
      <c r="J5" s="19">
        <f>Investment_Master!Q5/5</f>
        <v>9180696.854915265</v>
      </c>
      <c r="K5" s="19">
        <f t="shared" ref="K5:K36" si="1">NPV(D5,F5:J5)+E5</f>
        <v>-2319089.8739748523</v>
      </c>
      <c r="L5" s="20">
        <f t="shared" ref="L5:L36" si="2">IFERROR(IRR(E5:J5),0)</f>
        <v>8.4238476632569448E-2</v>
      </c>
      <c r="M5" s="21">
        <f>Investment_Master!V5</f>
        <v>3.9485020116519878</v>
      </c>
    </row>
    <row r="6" spans="1:13" ht="15" customHeight="1" x14ac:dyDescent="0.25">
      <c r="A6" s="17" t="str">
        <f>Investment_Master!A6</f>
        <v>INV-002</v>
      </c>
      <c r="B6" s="17" t="str">
        <f>Investment_Master!B6</f>
        <v>Brand Repositioning – South</v>
      </c>
      <c r="C6" s="19">
        <f>Investment_Master!J6</f>
        <v>8020000</v>
      </c>
      <c r="D6" s="20">
        <f>Investment_Master!Y6</f>
        <v>0.11</v>
      </c>
      <c r="E6" s="19">
        <f t="shared" si="0"/>
        <v>-8020000</v>
      </c>
      <c r="F6" s="19">
        <f>Investment_Master!Q6/5</f>
        <v>1888552.4953928557</v>
      </c>
      <c r="G6" s="19">
        <f>Investment_Master!Q6/5</f>
        <v>1888552.4953928557</v>
      </c>
      <c r="H6" s="19">
        <f>Investment_Master!Q6/5</f>
        <v>1888552.4953928557</v>
      </c>
      <c r="I6" s="19">
        <f>Investment_Master!Q6/5</f>
        <v>1888552.4953928557</v>
      </c>
      <c r="J6" s="19">
        <f>Investment_Master!Q6/5</f>
        <v>1888552.4953928557</v>
      </c>
      <c r="K6" s="19">
        <f t="shared" si="1"/>
        <v>-1040104.4646030907</v>
      </c>
      <c r="L6" s="20">
        <f t="shared" si="2"/>
        <v>5.7028167481365077E-2</v>
      </c>
      <c r="M6" s="21">
        <f>Investment_Master!V6</f>
        <v>4.2466386396803246</v>
      </c>
    </row>
    <row r="7" spans="1:13" ht="15" customHeight="1" x14ac:dyDescent="0.25">
      <c r="A7" s="17" t="str">
        <f>Investment_Master!A7</f>
        <v>INV-003</v>
      </c>
      <c r="B7" s="17" t="str">
        <f>Investment_Master!B7</f>
        <v>Premium Product Line – West</v>
      </c>
      <c r="C7" s="19">
        <f>Investment_Master!J7</f>
        <v>35540000</v>
      </c>
      <c r="D7" s="20">
        <f>Investment_Master!Y7</f>
        <v>0.1</v>
      </c>
      <c r="E7" s="19">
        <f t="shared" si="0"/>
        <v>-35540000</v>
      </c>
      <c r="F7" s="19">
        <f>Investment_Master!Q7/5</f>
        <v>8516011.0272279773</v>
      </c>
      <c r="G7" s="19">
        <f>Investment_Master!Q7/5</f>
        <v>8516011.0272279773</v>
      </c>
      <c r="H7" s="19">
        <f>Investment_Master!Q7/5</f>
        <v>8516011.0272279773</v>
      </c>
      <c r="I7" s="19">
        <f>Investment_Master!Q7/5</f>
        <v>8516011.0272279773</v>
      </c>
      <c r="J7" s="19">
        <f>Investment_Master!Q7/5</f>
        <v>8516011.0272279773</v>
      </c>
      <c r="K7" s="19">
        <f t="shared" si="1"/>
        <v>-3257618.069847744</v>
      </c>
      <c r="L7" s="20">
        <f t="shared" si="2"/>
        <v>6.343282015879681E-2</v>
      </c>
      <c r="M7" s="21">
        <f>Investment_Master!V7</f>
        <v>4.173315403933727</v>
      </c>
    </row>
    <row r="8" spans="1:13" ht="15" customHeight="1" x14ac:dyDescent="0.25">
      <c r="A8" s="17" t="str">
        <f>Investment_Master!A8</f>
        <v>INV-004</v>
      </c>
      <c r="B8" s="17" t="str">
        <f>Investment_Master!B8</f>
        <v>Tier-2 City Expansion – North</v>
      </c>
      <c r="C8" s="19">
        <f>Investment_Master!J8</f>
        <v>23090000</v>
      </c>
      <c r="D8" s="20">
        <f>Investment_Master!Y8</f>
        <v>0.09</v>
      </c>
      <c r="E8" s="19">
        <f t="shared" si="0"/>
        <v>-23090000</v>
      </c>
      <c r="F8" s="19">
        <f>Investment_Master!Q8/5</f>
        <v>5573147.3696992379</v>
      </c>
      <c r="G8" s="19">
        <f>Investment_Master!Q8/5</f>
        <v>5573147.3696992379</v>
      </c>
      <c r="H8" s="19">
        <f>Investment_Master!Q8/5</f>
        <v>5573147.3696992379</v>
      </c>
      <c r="I8" s="19">
        <f>Investment_Master!Q8/5</f>
        <v>5573147.3696992379</v>
      </c>
      <c r="J8" s="19">
        <f>Investment_Master!Q8/5</f>
        <v>5573147.3696992379</v>
      </c>
      <c r="K8" s="19">
        <f t="shared" si="1"/>
        <v>-1412400.2926040664</v>
      </c>
      <c r="L8" s="20">
        <f t="shared" si="2"/>
        <v>6.6126032243419619E-2</v>
      </c>
      <c r="M8" s="21">
        <f>Investment_Master!V8</f>
        <v>4.1430808245872894</v>
      </c>
    </row>
    <row r="9" spans="1:13" ht="15" customHeight="1" x14ac:dyDescent="0.25">
      <c r="A9" s="17" t="str">
        <f>Investment_Master!A9</f>
        <v>INV-005</v>
      </c>
      <c r="B9" s="17" t="str">
        <f>Investment_Master!B9</f>
        <v>Automated Packaging Line – East</v>
      </c>
      <c r="C9" s="19">
        <f>Investment_Master!J9</f>
        <v>31290000</v>
      </c>
      <c r="D9" s="20">
        <f>Investment_Master!Y9</f>
        <v>0.12</v>
      </c>
      <c r="E9" s="19">
        <f t="shared" si="0"/>
        <v>-31290000</v>
      </c>
      <c r="F9" s="19">
        <f>Investment_Master!Q9/5</f>
        <v>7354286.3383129463</v>
      </c>
      <c r="G9" s="19">
        <f>Investment_Master!Q9/5</f>
        <v>7354286.3383129463</v>
      </c>
      <c r="H9" s="19">
        <f>Investment_Master!Q9/5</f>
        <v>7354286.3383129463</v>
      </c>
      <c r="I9" s="19">
        <f>Investment_Master!Q9/5</f>
        <v>7354286.3383129463</v>
      </c>
      <c r="J9" s="19">
        <f>Investment_Master!Q9/5</f>
        <v>7354286.3383129463</v>
      </c>
      <c r="K9" s="19">
        <f t="shared" si="1"/>
        <v>-4779443.6224185079</v>
      </c>
      <c r="L9" s="20">
        <f t="shared" si="2"/>
        <v>5.6338011278983302E-2</v>
      </c>
      <c r="M9" s="21">
        <f>Investment_Master!V9</f>
        <v>4.2546616436446563</v>
      </c>
    </row>
    <row r="10" spans="1:13" ht="15" customHeight="1" x14ac:dyDescent="0.25">
      <c r="A10" s="17" t="str">
        <f>Investment_Master!A10</f>
        <v>INV-006</v>
      </c>
      <c r="B10" s="17" t="str">
        <f>Investment_Master!B10</f>
        <v>RPA Finance Rollout – Central</v>
      </c>
      <c r="C10" s="19">
        <f>Investment_Master!J10</f>
        <v>18900000</v>
      </c>
      <c r="D10" s="20">
        <f>Investment_Master!Y10</f>
        <v>0.1</v>
      </c>
      <c r="E10" s="19">
        <f t="shared" si="0"/>
        <v>-18900000</v>
      </c>
      <c r="F10" s="19">
        <f>Investment_Master!Q10/5</f>
        <v>4721708.4042414967</v>
      </c>
      <c r="G10" s="19">
        <f>Investment_Master!Q10/5</f>
        <v>4721708.4042414967</v>
      </c>
      <c r="H10" s="19">
        <f>Investment_Master!Q10/5</f>
        <v>4721708.4042414967</v>
      </c>
      <c r="I10" s="19">
        <f>Investment_Master!Q10/5</f>
        <v>4721708.4042414967</v>
      </c>
      <c r="J10" s="19">
        <f>Investment_Master!Q10/5</f>
        <v>4721708.4042414967</v>
      </c>
      <c r="K10" s="19">
        <f t="shared" si="1"/>
        <v>-1001010.2521966621</v>
      </c>
      <c r="L10" s="20">
        <f t="shared" si="2"/>
        <v>7.9044196370595454E-2</v>
      </c>
      <c r="M10" s="21">
        <f>Investment_Master!V10</f>
        <v>4.002788478640948</v>
      </c>
    </row>
    <row r="11" spans="1:13" ht="15" customHeight="1" x14ac:dyDescent="0.25">
      <c r="A11" s="17" t="str">
        <f>Investment_Master!A11</f>
        <v>INV-007</v>
      </c>
      <c r="B11" s="17" t="str">
        <f>Investment_Master!B11</f>
        <v>Leadership Development – South</v>
      </c>
      <c r="C11" s="19">
        <f>Investment_Master!J11</f>
        <v>13230000</v>
      </c>
      <c r="D11" s="20">
        <f>Investment_Master!Y11</f>
        <v>0.11</v>
      </c>
      <c r="E11" s="19">
        <f t="shared" si="0"/>
        <v>-13230000</v>
      </c>
      <c r="F11" s="19">
        <f>Investment_Master!Q11/5</f>
        <v>2653618.0654455377</v>
      </c>
      <c r="G11" s="19">
        <f>Investment_Master!Q11/5</f>
        <v>2653618.0654455377</v>
      </c>
      <c r="H11" s="19">
        <f>Investment_Master!Q11/5</f>
        <v>2653618.0654455377</v>
      </c>
      <c r="I11" s="19">
        <f>Investment_Master!Q11/5</f>
        <v>2653618.0654455377</v>
      </c>
      <c r="J11" s="19">
        <f>Investment_Master!Q11/5</f>
        <v>2653618.0654455377</v>
      </c>
      <c r="K11" s="19">
        <f t="shared" si="1"/>
        <v>-3422500.9059390966</v>
      </c>
      <c r="L11" s="20">
        <f t="shared" si="2"/>
        <v>9.59082890785945E-4</v>
      </c>
      <c r="M11" s="21">
        <f>Investment_Master!V11</f>
        <v>4.9856458893901552</v>
      </c>
    </row>
    <row r="12" spans="1:13" ht="15" customHeight="1" x14ac:dyDescent="0.25">
      <c r="A12" s="17" t="str">
        <f>Investment_Master!A12</f>
        <v>INV-008</v>
      </c>
      <c r="B12" s="17" t="str">
        <f>Investment_Master!B12</f>
        <v>Plant Utility Upgrade – West</v>
      </c>
      <c r="C12" s="19">
        <f>Investment_Master!J12</f>
        <v>17620000</v>
      </c>
      <c r="D12" s="20">
        <f>Investment_Master!Y12</f>
        <v>0.12</v>
      </c>
      <c r="E12" s="19">
        <f t="shared" si="0"/>
        <v>-17620000</v>
      </c>
      <c r="F12" s="19">
        <f>Investment_Master!Q12/5</f>
        <v>3927674.4421425513</v>
      </c>
      <c r="G12" s="19">
        <f>Investment_Master!Q12/5</f>
        <v>3927674.4421425513</v>
      </c>
      <c r="H12" s="19">
        <f>Investment_Master!Q12/5</f>
        <v>3927674.4421425513</v>
      </c>
      <c r="I12" s="19">
        <f>Investment_Master!Q12/5</f>
        <v>3927674.4421425513</v>
      </c>
      <c r="J12" s="19">
        <f>Investment_Master!Q12/5</f>
        <v>3927674.4421425513</v>
      </c>
      <c r="K12" s="19">
        <f t="shared" si="1"/>
        <v>-3461612.6404058412</v>
      </c>
      <c r="L12" s="20">
        <f t="shared" si="2"/>
        <v>3.7274471665797337E-2</v>
      </c>
      <c r="M12" s="21">
        <f>Investment_Master!V12</f>
        <v>4.4861151960416219</v>
      </c>
    </row>
    <row r="13" spans="1:13" ht="15" customHeight="1" x14ac:dyDescent="0.25">
      <c r="A13" s="17" t="str">
        <f>Investment_Master!A13</f>
        <v>INV-009</v>
      </c>
      <c r="B13" s="17" t="str">
        <f>Investment_Master!B13</f>
        <v>ERP Cloud Migration – North</v>
      </c>
      <c r="C13" s="19">
        <f>Investment_Master!J13</f>
        <v>20840000</v>
      </c>
      <c r="D13" s="20">
        <f>Investment_Master!Y13</f>
        <v>0.1</v>
      </c>
      <c r="E13" s="19">
        <f t="shared" si="0"/>
        <v>-20840000</v>
      </c>
      <c r="F13" s="19">
        <f>Investment_Master!Q13/5</f>
        <v>5420617.5690109478</v>
      </c>
      <c r="G13" s="19">
        <f>Investment_Master!Q13/5</f>
        <v>5420617.5690109478</v>
      </c>
      <c r="H13" s="19">
        <f>Investment_Master!Q13/5</f>
        <v>5420617.5690109478</v>
      </c>
      <c r="I13" s="19">
        <f>Investment_Master!Q13/5</f>
        <v>5420617.5690109478</v>
      </c>
      <c r="J13" s="19">
        <f>Investment_Master!Q13/5</f>
        <v>5420617.5690109478</v>
      </c>
      <c r="K13" s="19">
        <f t="shared" si="1"/>
        <v>-291594.63737031817</v>
      </c>
      <c r="L13" s="20">
        <f t="shared" si="2"/>
        <v>9.4507699718861193E-2</v>
      </c>
      <c r="M13" s="21">
        <f>Investment_Master!V13</f>
        <v>3.8445803886147405</v>
      </c>
    </row>
    <row r="14" spans="1:13" ht="15" customHeight="1" x14ac:dyDescent="0.25">
      <c r="A14" s="17" t="str">
        <f>Investment_Master!A14</f>
        <v>INV-010</v>
      </c>
      <c r="B14" s="17" t="str">
        <f>Investment_Master!B14</f>
        <v>Brand Repositioning – East</v>
      </c>
      <c r="C14" s="19">
        <f>Investment_Master!J14</f>
        <v>9510000</v>
      </c>
      <c r="D14" s="20">
        <f>Investment_Master!Y14</f>
        <v>0.1</v>
      </c>
      <c r="E14" s="19">
        <f t="shared" si="0"/>
        <v>-9510000</v>
      </c>
      <c r="F14" s="19">
        <f>Investment_Master!Q14/5</f>
        <v>2349728.27405986</v>
      </c>
      <c r="G14" s="19">
        <f>Investment_Master!Q14/5</f>
        <v>2349728.27405986</v>
      </c>
      <c r="H14" s="19">
        <f>Investment_Master!Q14/5</f>
        <v>2349728.27405986</v>
      </c>
      <c r="I14" s="19">
        <f>Investment_Master!Q14/5</f>
        <v>2349728.27405986</v>
      </c>
      <c r="J14" s="19">
        <f>Investment_Master!Q14/5</f>
        <v>2349728.27405986</v>
      </c>
      <c r="K14" s="19">
        <f t="shared" si="1"/>
        <v>-602681.14698893763</v>
      </c>
      <c r="L14" s="20">
        <f t="shared" si="2"/>
        <v>7.4870557757053424E-2</v>
      </c>
      <c r="M14" s="21">
        <f>Investment_Master!V14</f>
        <v>4.0472764893655659</v>
      </c>
    </row>
    <row r="15" spans="1:13" ht="15" customHeight="1" x14ac:dyDescent="0.25">
      <c r="A15" s="17" t="str">
        <f>Investment_Master!A15</f>
        <v>INV-011</v>
      </c>
      <c r="B15" s="17" t="str">
        <f>Investment_Master!B15</f>
        <v>Premium Product Line – Central</v>
      </c>
      <c r="C15" s="19">
        <f>Investment_Master!J15</f>
        <v>24030000</v>
      </c>
      <c r="D15" s="20">
        <f>Investment_Master!Y15</f>
        <v>0.12</v>
      </c>
      <c r="E15" s="19">
        <f t="shared" si="0"/>
        <v>-24030000</v>
      </c>
      <c r="F15" s="19">
        <f>Investment_Master!Q15/5</f>
        <v>5108184.8515968015</v>
      </c>
      <c r="G15" s="19">
        <f>Investment_Master!Q15/5</f>
        <v>5108184.8515968015</v>
      </c>
      <c r="H15" s="19">
        <f>Investment_Master!Q15/5</f>
        <v>5108184.8515968015</v>
      </c>
      <c r="I15" s="19">
        <f>Investment_Master!Q15/5</f>
        <v>5108184.8515968015</v>
      </c>
      <c r="J15" s="19">
        <f>Investment_Master!Q15/5</f>
        <v>5108184.8515968015</v>
      </c>
      <c r="K15" s="19">
        <f t="shared" si="1"/>
        <v>-5616136.8097846024</v>
      </c>
      <c r="L15" s="20">
        <f t="shared" si="2"/>
        <v>2.0676798411674024E-2</v>
      </c>
      <c r="M15" s="21">
        <f>Investment_Master!V15</f>
        <v>4.704215038828969</v>
      </c>
    </row>
    <row r="16" spans="1:13" ht="15" customHeight="1" x14ac:dyDescent="0.25">
      <c r="A16" s="17" t="str">
        <f>Investment_Master!A16</f>
        <v>INV-012</v>
      </c>
      <c r="B16" s="17" t="str">
        <f>Investment_Master!B16</f>
        <v>Tier-2 City Expansion – South</v>
      </c>
      <c r="C16" s="19">
        <f>Investment_Master!J16</f>
        <v>29770000</v>
      </c>
      <c r="D16" s="20">
        <f>Investment_Master!Y16</f>
        <v>0.09</v>
      </c>
      <c r="E16" s="19">
        <f t="shared" si="0"/>
        <v>-29770000</v>
      </c>
      <c r="F16" s="19">
        <f>Investment_Master!Q16/5</f>
        <v>7009433.3326395778</v>
      </c>
      <c r="G16" s="19">
        <f>Investment_Master!Q16/5</f>
        <v>7009433.3326395778</v>
      </c>
      <c r="H16" s="19">
        <f>Investment_Master!Q16/5</f>
        <v>7009433.3326395778</v>
      </c>
      <c r="I16" s="19">
        <f>Investment_Master!Q16/5</f>
        <v>7009433.3326395778</v>
      </c>
      <c r="J16" s="19">
        <f>Investment_Master!Q16/5</f>
        <v>7009433.3326395778</v>
      </c>
      <c r="K16" s="19">
        <f t="shared" si="1"/>
        <v>-2505748.7823188342</v>
      </c>
      <c r="L16" s="20">
        <f t="shared" si="2"/>
        <v>5.6985527970591754E-2</v>
      </c>
      <c r="M16" s="21">
        <f>Investment_Master!V16</f>
        <v>4.2471336251070895</v>
      </c>
    </row>
    <row r="17" spans="1:13" ht="15" customHeight="1" x14ac:dyDescent="0.25">
      <c r="A17" s="17" t="str">
        <f>Investment_Master!A17</f>
        <v>INV-013</v>
      </c>
      <c r="B17" s="17" t="str">
        <f>Investment_Master!B17</f>
        <v>Automated Packaging Line – West</v>
      </c>
      <c r="C17" s="19">
        <f>Investment_Master!J17</f>
        <v>10900000</v>
      </c>
      <c r="D17" s="20">
        <f>Investment_Master!Y17</f>
        <v>0.1</v>
      </c>
      <c r="E17" s="19">
        <f t="shared" si="0"/>
        <v>-10900000</v>
      </c>
      <c r="F17" s="19">
        <f>Investment_Master!Q17/5</f>
        <v>2406740.3677598699</v>
      </c>
      <c r="G17" s="19">
        <f>Investment_Master!Q17/5</f>
        <v>2406740.3677598699</v>
      </c>
      <c r="H17" s="19">
        <f>Investment_Master!Q17/5</f>
        <v>2406740.3677598699</v>
      </c>
      <c r="I17" s="19">
        <f>Investment_Master!Q17/5</f>
        <v>2406740.3677598699</v>
      </c>
      <c r="J17" s="19">
        <f>Investment_Master!Q17/5</f>
        <v>2406740.3677598699</v>
      </c>
      <c r="K17" s="19">
        <f t="shared" si="1"/>
        <v>-1776560.4564946648</v>
      </c>
      <c r="L17" s="20">
        <f t="shared" si="2"/>
        <v>3.3915998707266359E-2</v>
      </c>
      <c r="M17" s="21">
        <f>Investment_Master!V17</f>
        <v>4.5289471793525573</v>
      </c>
    </row>
    <row r="18" spans="1:13" ht="15" customHeight="1" x14ac:dyDescent="0.25">
      <c r="A18" s="17" t="str">
        <f>Investment_Master!A18</f>
        <v>INV-014</v>
      </c>
      <c r="B18" s="17" t="str">
        <f>Investment_Master!B18</f>
        <v>RPA Finance Rollout – North</v>
      </c>
      <c r="C18" s="19">
        <f>Investment_Master!J18</f>
        <v>17990000</v>
      </c>
      <c r="D18" s="20">
        <f>Investment_Master!Y18</f>
        <v>0.11</v>
      </c>
      <c r="E18" s="19">
        <f t="shared" si="0"/>
        <v>-17990000</v>
      </c>
      <c r="F18" s="19">
        <f>Investment_Master!Q18/5</f>
        <v>4671416.5008911602</v>
      </c>
      <c r="G18" s="19">
        <f>Investment_Master!Q18/5</f>
        <v>4671416.5008911602</v>
      </c>
      <c r="H18" s="19">
        <f>Investment_Master!Q18/5</f>
        <v>4671416.5008911602</v>
      </c>
      <c r="I18" s="19">
        <f>Investment_Master!Q18/5</f>
        <v>4671416.5008911602</v>
      </c>
      <c r="J18" s="19">
        <f>Investment_Master!Q18/5</f>
        <v>4671416.5008911602</v>
      </c>
      <c r="K18" s="19">
        <f t="shared" si="1"/>
        <v>-724925.68615786359</v>
      </c>
      <c r="L18" s="20">
        <f t="shared" si="2"/>
        <v>9.3852407194937371E-2</v>
      </c>
      <c r="M18" s="21">
        <f>Investment_Master!V18</f>
        <v>3.8510802872250998</v>
      </c>
    </row>
    <row r="19" spans="1:13" ht="15" customHeight="1" x14ac:dyDescent="0.25">
      <c r="A19" s="17" t="str">
        <f>Investment_Master!A19</f>
        <v>INV-015</v>
      </c>
      <c r="B19" s="17" t="str">
        <f>Investment_Master!B19</f>
        <v>Leadership Development – East</v>
      </c>
      <c r="C19" s="19">
        <f>Investment_Master!J19</f>
        <v>3540000</v>
      </c>
      <c r="D19" s="20">
        <f>Investment_Master!Y19</f>
        <v>0.11</v>
      </c>
      <c r="E19" s="19">
        <f t="shared" si="0"/>
        <v>-3540000</v>
      </c>
      <c r="F19" s="19">
        <f>Investment_Master!Q19/5</f>
        <v>752525.82102562883</v>
      </c>
      <c r="G19" s="19">
        <f>Investment_Master!Q19/5</f>
        <v>752525.82102562883</v>
      </c>
      <c r="H19" s="19">
        <f>Investment_Master!Q19/5</f>
        <v>752525.82102562883</v>
      </c>
      <c r="I19" s="19">
        <f>Investment_Master!Q19/5</f>
        <v>752525.82102562883</v>
      </c>
      <c r="J19" s="19">
        <f>Investment_Master!Q19/5</f>
        <v>752525.82102562883</v>
      </c>
      <c r="K19" s="19">
        <f t="shared" si="1"/>
        <v>-758742.06236716406</v>
      </c>
      <c r="L19" s="20">
        <f t="shared" si="2"/>
        <v>2.0681015948993187E-2</v>
      </c>
      <c r="M19" s="21">
        <f>Investment_Master!V19</f>
        <v>4.7041575200373593</v>
      </c>
    </row>
    <row r="20" spans="1:13" ht="15" customHeight="1" x14ac:dyDescent="0.25">
      <c r="A20" s="17" t="str">
        <f>Investment_Master!A20</f>
        <v>INV-016</v>
      </c>
      <c r="B20" s="17" t="str">
        <f>Investment_Master!B20</f>
        <v>Plant Utility Upgrade – Central</v>
      </c>
      <c r="C20" s="19">
        <f>Investment_Master!J20</f>
        <v>35980000</v>
      </c>
      <c r="D20" s="20">
        <f>Investment_Master!Y20</f>
        <v>0.1</v>
      </c>
      <c r="E20" s="19">
        <f t="shared" si="0"/>
        <v>-35980000</v>
      </c>
      <c r="F20" s="19">
        <f>Investment_Master!Q20/5</f>
        <v>8410085.8594407476</v>
      </c>
      <c r="G20" s="19">
        <f>Investment_Master!Q20/5</f>
        <v>8410085.8594407476</v>
      </c>
      <c r="H20" s="19">
        <f>Investment_Master!Q20/5</f>
        <v>8410085.8594407476</v>
      </c>
      <c r="I20" s="19">
        <f>Investment_Master!Q20/5</f>
        <v>8410085.8594407476</v>
      </c>
      <c r="J20" s="19">
        <f>Investment_Master!Q20/5</f>
        <v>8410085.8594407476</v>
      </c>
      <c r="K20" s="19">
        <f t="shared" si="1"/>
        <v>-4099157.7944429442</v>
      </c>
      <c r="L20" s="20">
        <f t="shared" si="2"/>
        <v>5.4325330188333298E-2</v>
      </c>
      <c r="M20" s="21">
        <f>Investment_Master!V20</f>
        <v>4.2781965132508875</v>
      </c>
    </row>
    <row r="21" spans="1:13" ht="15" customHeight="1" x14ac:dyDescent="0.25">
      <c r="A21" s="17" t="str">
        <f>Investment_Master!A21</f>
        <v>INV-017</v>
      </c>
      <c r="B21" s="17" t="str">
        <f>Investment_Master!B21</f>
        <v>ERP Cloud Migration – South</v>
      </c>
      <c r="C21" s="19">
        <f>Investment_Master!J21</f>
        <v>33640000</v>
      </c>
      <c r="D21" s="20">
        <f>Investment_Master!Y21</f>
        <v>0.11</v>
      </c>
      <c r="E21" s="19">
        <f t="shared" si="0"/>
        <v>-33640000</v>
      </c>
      <c r="F21" s="19">
        <f>Investment_Master!Q21/5</f>
        <v>8276685.6626371695</v>
      </c>
      <c r="G21" s="19">
        <f>Investment_Master!Q21/5</f>
        <v>8276685.6626371695</v>
      </c>
      <c r="H21" s="19">
        <f>Investment_Master!Q21/5</f>
        <v>8276685.6626371695</v>
      </c>
      <c r="I21" s="19">
        <f>Investment_Master!Q21/5</f>
        <v>8276685.6626371695</v>
      </c>
      <c r="J21" s="19">
        <f>Investment_Master!Q21/5</f>
        <v>8276685.6626371695</v>
      </c>
      <c r="K21" s="19">
        <f t="shared" si="1"/>
        <v>-3050222.1434372067</v>
      </c>
      <c r="L21" s="20">
        <f t="shared" si="2"/>
        <v>7.3280887802852357E-2</v>
      </c>
      <c r="M21" s="21">
        <f>Investment_Master!V21</f>
        <v>4.0644288512560731</v>
      </c>
    </row>
    <row r="22" spans="1:13" ht="15" customHeight="1" x14ac:dyDescent="0.25">
      <c r="A22" s="17" t="str">
        <f>Investment_Master!A22</f>
        <v>INV-018</v>
      </c>
      <c r="B22" s="17" t="str">
        <f>Investment_Master!B22</f>
        <v>Brand Repositioning – West</v>
      </c>
      <c r="C22" s="19">
        <f>Investment_Master!J22</f>
        <v>12340000</v>
      </c>
      <c r="D22" s="20">
        <f>Investment_Master!Y22</f>
        <v>0.11</v>
      </c>
      <c r="E22" s="19">
        <f t="shared" si="0"/>
        <v>-12340000</v>
      </c>
      <c r="F22" s="19">
        <f>Investment_Master!Q22/5</f>
        <v>2852126.2278852658</v>
      </c>
      <c r="G22" s="19">
        <f>Investment_Master!Q22/5</f>
        <v>2852126.2278852658</v>
      </c>
      <c r="H22" s="19">
        <f>Investment_Master!Q22/5</f>
        <v>2852126.2278852658</v>
      </c>
      <c r="I22" s="19">
        <f>Investment_Master!Q22/5</f>
        <v>2852126.2278852658</v>
      </c>
      <c r="J22" s="19">
        <f>Investment_Master!Q22/5</f>
        <v>2852126.2278852658</v>
      </c>
      <c r="K22" s="19">
        <f t="shared" si="1"/>
        <v>-1798835.1803990286</v>
      </c>
      <c r="L22" s="20">
        <f t="shared" si="2"/>
        <v>5.0240763828989454E-2</v>
      </c>
      <c r="M22" s="21">
        <f>Investment_Master!V22</f>
        <v>4.3265967261026876</v>
      </c>
    </row>
    <row r="23" spans="1:13" ht="15" customHeight="1" x14ac:dyDescent="0.25">
      <c r="A23" s="17" t="str">
        <f>Investment_Master!A23</f>
        <v>INV-019</v>
      </c>
      <c r="B23" s="17" t="str">
        <f>Investment_Master!B23</f>
        <v>Premium Product Line – North</v>
      </c>
      <c r="C23" s="19">
        <f>Investment_Master!J23</f>
        <v>26730000</v>
      </c>
      <c r="D23" s="20">
        <f>Investment_Master!Y23</f>
        <v>0.1</v>
      </c>
      <c r="E23" s="19">
        <f t="shared" si="0"/>
        <v>-26730000</v>
      </c>
      <c r="F23" s="19">
        <f>Investment_Master!Q23/5</f>
        <v>5634735.3327774284</v>
      </c>
      <c r="G23" s="19">
        <f>Investment_Master!Q23/5</f>
        <v>5634735.3327774284</v>
      </c>
      <c r="H23" s="19">
        <f>Investment_Master!Q23/5</f>
        <v>5634735.3327774284</v>
      </c>
      <c r="I23" s="19">
        <f>Investment_Master!Q23/5</f>
        <v>5634735.3327774284</v>
      </c>
      <c r="J23" s="19">
        <f>Investment_Master!Q23/5</f>
        <v>5634735.3327774284</v>
      </c>
      <c r="K23" s="19">
        <f t="shared" si="1"/>
        <v>-5369919.8513890207</v>
      </c>
      <c r="L23" s="20">
        <f t="shared" si="2"/>
        <v>1.779400062275438E-2</v>
      </c>
      <c r="M23" s="21">
        <f>Investment_Master!V23</f>
        <v>4.7437898004739933</v>
      </c>
    </row>
    <row r="24" spans="1:13" ht="15" customHeight="1" x14ac:dyDescent="0.25">
      <c r="A24" s="17" t="str">
        <f>Investment_Master!A24</f>
        <v>INV-020</v>
      </c>
      <c r="B24" s="17" t="str">
        <f>Investment_Master!B24</f>
        <v>Tier-2 City Expansion – East</v>
      </c>
      <c r="C24" s="19">
        <f>Investment_Master!J24</f>
        <v>55370000</v>
      </c>
      <c r="D24" s="20">
        <f>Investment_Master!Y24</f>
        <v>0.09</v>
      </c>
      <c r="E24" s="19">
        <f t="shared" si="0"/>
        <v>-55370000</v>
      </c>
      <c r="F24" s="19">
        <f>Investment_Master!Q24/5</f>
        <v>11604072.837892011</v>
      </c>
      <c r="G24" s="19">
        <f>Investment_Master!Q24/5</f>
        <v>11604072.837892011</v>
      </c>
      <c r="H24" s="19">
        <f>Investment_Master!Q24/5</f>
        <v>11604072.837892011</v>
      </c>
      <c r="I24" s="19">
        <f>Investment_Master!Q24/5</f>
        <v>11604072.837892011</v>
      </c>
      <c r="J24" s="19">
        <f>Investment_Master!Q24/5</f>
        <v>11604072.837892011</v>
      </c>
      <c r="K24" s="19">
        <f t="shared" si="1"/>
        <v>-10234203.426068015</v>
      </c>
      <c r="L24" s="20">
        <f t="shared" si="2"/>
        <v>1.5790564773516147E-2</v>
      </c>
      <c r="M24" s="21">
        <f>Investment_Master!V24</f>
        <v>4.7716005210855332</v>
      </c>
    </row>
    <row r="25" spans="1:13" ht="15" customHeight="1" x14ac:dyDescent="0.25">
      <c r="A25" s="17" t="str">
        <f>Investment_Master!A25</f>
        <v>INV-021</v>
      </c>
      <c r="B25" s="17" t="str">
        <f>Investment_Master!B25</f>
        <v>Automated Packaging Line – Central</v>
      </c>
      <c r="C25" s="19">
        <f>Investment_Master!J25</f>
        <v>18210000</v>
      </c>
      <c r="D25" s="20">
        <f>Investment_Master!Y25</f>
        <v>0.1</v>
      </c>
      <c r="E25" s="19">
        <f t="shared" si="0"/>
        <v>-18210000</v>
      </c>
      <c r="F25" s="19">
        <f>Investment_Master!Q25/5</f>
        <v>4166233.8323447742</v>
      </c>
      <c r="G25" s="19">
        <f>Investment_Master!Q25/5</f>
        <v>4166233.8323447742</v>
      </c>
      <c r="H25" s="19">
        <f>Investment_Master!Q25/5</f>
        <v>4166233.8323447742</v>
      </c>
      <c r="I25" s="19">
        <f>Investment_Master!Q25/5</f>
        <v>4166233.8323447742</v>
      </c>
      <c r="J25" s="19">
        <f>Investment_Master!Q25/5</f>
        <v>4166233.8323447742</v>
      </c>
      <c r="K25" s="19">
        <f t="shared" si="1"/>
        <v>-2416695.9100855757</v>
      </c>
      <c r="L25" s="20">
        <f t="shared" si="2"/>
        <v>4.6568564713683758E-2</v>
      </c>
      <c r="M25" s="21">
        <f>Investment_Master!V25</f>
        <v>4.3708540453552347</v>
      </c>
    </row>
    <row r="26" spans="1:13" ht="15" customHeight="1" x14ac:dyDescent="0.25">
      <c r="A26" s="17" t="str">
        <f>Investment_Master!A26</f>
        <v>INV-022</v>
      </c>
      <c r="B26" s="17" t="str">
        <f>Investment_Master!B26</f>
        <v>RPA Finance Rollout – South</v>
      </c>
      <c r="C26" s="19">
        <f>Investment_Master!J26</f>
        <v>29650000</v>
      </c>
      <c r="D26" s="20">
        <f>Investment_Master!Y26</f>
        <v>0.1</v>
      </c>
      <c r="E26" s="19">
        <f t="shared" si="0"/>
        <v>-29650000</v>
      </c>
      <c r="F26" s="19">
        <f>Investment_Master!Q26/5</f>
        <v>7247946.8452531816</v>
      </c>
      <c r="G26" s="19">
        <f>Investment_Master!Q26/5</f>
        <v>7247946.8452531816</v>
      </c>
      <c r="H26" s="19">
        <f>Investment_Master!Q26/5</f>
        <v>7247946.8452531816</v>
      </c>
      <c r="I26" s="19">
        <f>Investment_Master!Q26/5</f>
        <v>7247946.8452531816</v>
      </c>
      <c r="J26" s="19">
        <f>Investment_Master!Q26/5</f>
        <v>7247946.8452531816</v>
      </c>
      <c r="K26" s="19">
        <f t="shared" si="1"/>
        <v>-2174578.9936385378</v>
      </c>
      <c r="L26" s="20">
        <f t="shared" si="2"/>
        <v>7.0856309984055343E-2</v>
      </c>
      <c r="M26" s="21">
        <f>Investment_Master!V26</f>
        <v>4.0908136653096934</v>
      </c>
    </row>
    <row r="27" spans="1:13" ht="15" customHeight="1" x14ac:dyDescent="0.25">
      <c r="A27" s="17" t="str">
        <f>Investment_Master!A27</f>
        <v>INV-023</v>
      </c>
      <c r="B27" s="17" t="str">
        <f>Investment_Master!B27</f>
        <v>Leadership Development – West</v>
      </c>
      <c r="C27" s="19">
        <f>Investment_Master!J27</f>
        <v>2670000</v>
      </c>
      <c r="D27" s="20">
        <f>Investment_Master!Y27</f>
        <v>0.12</v>
      </c>
      <c r="E27" s="19">
        <f t="shared" si="0"/>
        <v>-2670000</v>
      </c>
      <c r="F27" s="19">
        <f>Investment_Master!Q27/5</f>
        <v>457448.52211545699</v>
      </c>
      <c r="G27" s="19">
        <f>Investment_Master!Q27/5</f>
        <v>457448.52211545699</v>
      </c>
      <c r="H27" s="19">
        <f>Investment_Master!Q27/5</f>
        <v>457448.52211545699</v>
      </c>
      <c r="I27" s="19">
        <f>Investment_Master!Q27/5</f>
        <v>457448.52211545699</v>
      </c>
      <c r="J27" s="19">
        <f>Investment_Master!Q27/5</f>
        <v>457448.52211545699</v>
      </c>
      <c r="K27" s="19">
        <f t="shared" si="1"/>
        <v>-1021000.4536803083</v>
      </c>
      <c r="L27" s="20">
        <f t="shared" si="2"/>
        <v>-4.9455335111972087E-2</v>
      </c>
      <c r="M27" s="21">
        <f>Investment_Master!V27</f>
        <v>5.8367223215689163</v>
      </c>
    </row>
    <row r="28" spans="1:13" ht="15" customHeight="1" x14ac:dyDescent="0.25">
      <c r="A28" s="17" t="str">
        <f>Investment_Master!A28</f>
        <v>INV-024</v>
      </c>
      <c r="B28" s="17" t="str">
        <f>Investment_Master!B28</f>
        <v>Plant Utility Upgrade – North</v>
      </c>
      <c r="C28" s="19">
        <f>Investment_Master!J28</f>
        <v>44500000</v>
      </c>
      <c r="D28" s="20">
        <f>Investment_Master!Y28</f>
        <v>0.1</v>
      </c>
      <c r="E28" s="19">
        <f t="shared" si="0"/>
        <v>-44500000</v>
      </c>
      <c r="F28" s="19">
        <f>Investment_Master!Q28/5</f>
        <v>9536622.2207294889</v>
      </c>
      <c r="G28" s="19">
        <f>Investment_Master!Q28/5</f>
        <v>9536622.2207294889</v>
      </c>
      <c r="H28" s="19">
        <f>Investment_Master!Q28/5</f>
        <v>9536622.2207294889</v>
      </c>
      <c r="I28" s="19">
        <f>Investment_Master!Q28/5</f>
        <v>9536622.2207294889</v>
      </c>
      <c r="J28" s="19">
        <f>Investment_Master!Q28/5</f>
        <v>9536622.2207294889</v>
      </c>
      <c r="K28" s="19">
        <f t="shared" si="1"/>
        <v>-8348698.6608120427</v>
      </c>
      <c r="L28" s="20">
        <f t="shared" si="2"/>
        <v>2.34803123112719E-2</v>
      </c>
      <c r="M28" s="21">
        <f>Investment_Master!V28</f>
        <v>4.6662223762278847</v>
      </c>
    </row>
    <row r="29" spans="1:13" ht="15" customHeight="1" x14ac:dyDescent="0.25">
      <c r="A29" s="17" t="str">
        <f>Investment_Master!A29</f>
        <v>INV-025</v>
      </c>
      <c r="B29" s="17" t="str">
        <f>Investment_Master!B29</f>
        <v>ERP Cloud Migration – East</v>
      </c>
      <c r="C29" s="19">
        <f>Investment_Master!J29</f>
        <v>23650000</v>
      </c>
      <c r="D29" s="20">
        <f>Investment_Master!Y29</f>
        <v>0.1</v>
      </c>
      <c r="E29" s="19">
        <f t="shared" si="0"/>
        <v>-23650000</v>
      </c>
      <c r="F29" s="19">
        <f>Investment_Master!Q29/5</f>
        <v>5891151.1172303604</v>
      </c>
      <c r="G29" s="19">
        <f>Investment_Master!Q29/5</f>
        <v>5891151.1172303604</v>
      </c>
      <c r="H29" s="19">
        <f>Investment_Master!Q29/5</f>
        <v>5891151.1172303604</v>
      </c>
      <c r="I29" s="19">
        <f>Investment_Master!Q29/5</f>
        <v>5891151.1172303604</v>
      </c>
      <c r="J29" s="19">
        <f>Investment_Master!Q29/5</f>
        <v>5891151.1172303604</v>
      </c>
      <c r="K29" s="19">
        <f t="shared" si="1"/>
        <v>-1317902.2882173583</v>
      </c>
      <c r="L29" s="20">
        <f t="shared" si="2"/>
        <v>7.7938748360283583E-2</v>
      </c>
      <c r="M29" s="21">
        <f>Investment_Master!V29</f>
        <v>4.0144955594211114</v>
      </c>
    </row>
    <row r="30" spans="1:13" ht="15" customHeight="1" x14ac:dyDescent="0.25">
      <c r="A30" s="17" t="str">
        <f>Investment_Master!A30</f>
        <v>INV-026</v>
      </c>
      <c r="B30" s="17" t="str">
        <f>Investment_Master!B30</f>
        <v>Brand Repositioning – Central</v>
      </c>
      <c r="C30" s="19">
        <f>Investment_Master!J30</f>
        <v>19680000</v>
      </c>
      <c r="D30" s="20">
        <f>Investment_Master!Y30</f>
        <v>0.12</v>
      </c>
      <c r="E30" s="19">
        <f t="shared" si="0"/>
        <v>-19680000</v>
      </c>
      <c r="F30" s="19">
        <f>Investment_Master!Q30/5</f>
        <v>4694712.1751486184</v>
      </c>
      <c r="G30" s="19">
        <f>Investment_Master!Q30/5</f>
        <v>4694712.1751486184</v>
      </c>
      <c r="H30" s="19">
        <f>Investment_Master!Q30/5</f>
        <v>4694712.1751486184</v>
      </c>
      <c r="I30" s="19">
        <f>Investment_Master!Q30/5</f>
        <v>4694712.1751486184</v>
      </c>
      <c r="J30" s="19">
        <f>Investment_Master!Q30/5</f>
        <v>4694712.1751486184</v>
      </c>
      <c r="K30" s="19">
        <f t="shared" si="1"/>
        <v>-2756613.2741649076</v>
      </c>
      <c r="L30" s="20">
        <f t="shared" si="2"/>
        <v>6.1788261218792551E-2</v>
      </c>
      <c r="M30" s="21">
        <f>Investment_Master!V30</f>
        <v>4.1919502763504344</v>
      </c>
    </row>
    <row r="31" spans="1:13" ht="15" customHeight="1" x14ac:dyDescent="0.25">
      <c r="A31" s="17" t="str">
        <f>Investment_Master!A31</f>
        <v>INV-027</v>
      </c>
      <c r="B31" s="17" t="str">
        <f>Investment_Master!B31</f>
        <v>Premium Product Line – South</v>
      </c>
      <c r="C31" s="19">
        <f>Investment_Master!J31</f>
        <v>21180000</v>
      </c>
      <c r="D31" s="20">
        <f>Investment_Master!Y31</f>
        <v>0.1</v>
      </c>
      <c r="E31" s="19">
        <f t="shared" si="0"/>
        <v>-21180000</v>
      </c>
      <c r="F31" s="19">
        <f>Investment_Master!Q31/5</f>
        <v>4882479.7655842546</v>
      </c>
      <c r="G31" s="19">
        <f>Investment_Master!Q31/5</f>
        <v>4882479.7655842546</v>
      </c>
      <c r="H31" s="19">
        <f>Investment_Master!Q31/5</f>
        <v>4882479.7655842546</v>
      </c>
      <c r="I31" s="19">
        <f>Investment_Master!Q31/5</f>
        <v>4882479.7655842546</v>
      </c>
      <c r="J31" s="19">
        <f>Investment_Master!Q31/5</f>
        <v>4882479.7655842546</v>
      </c>
      <c r="K31" s="19">
        <f t="shared" si="1"/>
        <v>-2671560.3027187511</v>
      </c>
      <c r="L31" s="20">
        <f t="shared" si="2"/>
        <v>4.929229425613002E-2</v>
      </c>
      <c r="M31" s="21">
        <f>Investment_Master!V31</f>
        <v>4.3379596059555867</v>
      </c>
    </row>
    <row r="32" spans="1:13" ht="15" customHeight="1" x14ac:dyDescent="0.25">
      <c r="A32" s="17" t="str">
        <f>Investment_Master!A32</f>
        <v>INV-028</v>
      </c>
      <c r="B32" s="17" t="str">
        <f>Investment_Master!B32</f>
        <v>Tier-2 City Expansion – West</v>
      </c>
      <c r="C32" s="19">
        <f>Investment_Master!J32</f>
        <v>48920000</v>
      </c>
      <c r="D32" s="20">
        <f>Investment_Master!Y32</f>
        <v>0.09</v>
      </c>
      <c r="E32" s="19">
        <f t="shared" si="0"/>
        <v>-48920000</v>
      </c>
      <c r="F32" s="19">
        <f>Investment_Master!Q32/5</f>
        <v>10638180.149259228</v>
      </c>
      <c r="G32" s="19">
        <f>Investment_Master!Q32/5</f>
        <v>10638180.149259228</v>
      </c>
      <c r="H32" s="19">
        <f>Investment_Master!Q32/5</f>
        <v>10638180.149259228</v>
      </c>
      <c r="I32" s="19">
        <f>Investment_Master!Q32/5</f>
        <v>10638180.149259228</v>
      </c>
      <c r="J32" s="19">
        <f>Investment_Master!Q32/5</f>
        <v>10638180.149259228</v>
      </c>
      <c r="K32" s="19">
        <f t="shared" si="1"/>
        <v>-7541189.1426706985</v>
      </c>
      <c r="L32" s="20">
        <f t="shared" si="2"/>
        <v>2.8565091327503955E-2</v>
      </c>
      <c r="M32" s="21">
        <f>Investment_Master!V32</f>
        <v>4.5985308872031521</v>
      </c>
    </row>
    <row r="33" spans="1:13" ht="15" customHeight="1" x14ac:dyDescent="0.25">
      <c r="A33" s="17" t="str">
        <f>Investment_Master!A33</f>
        <v>INV-029</v>
      </c>
      <c r="B33" s="17" t="str">
        <f>Investment_Master!B33</f>
        <v>Automated Packaging Line – North</v>
      </c>
      <c r="C33" s="19">
        <f>Investment_Master!J33</f>
        <v>26540000</v>
      </c>
      <c r="D33" s="20">
        <f>Investment_Master!Y33</f>
        <v>0.12</v>
      </c>
      <c r="E33" s="19">
        <f t="shared" si="0"/>
        <v>-26540000</v>
      </c>
      <c r="F33" s="19">
        <f>Investment_Master!Q33/5</f>
        <v>5658720.4207969215</v>
      </c>
      <c r="G33" s="19">
        <f>Investment_Master!Q33/5</f>
        <v>5658720.4207969215</v>
      </c>
      <c r="H33" s="19">
        <f>Investment_Master!Q33/5</f>
        <v>5658720.4207969215</v>
      </c>
      <c r="I33" s="19">
        <f>Investment_Master!Q33/5</f>
        <v>5658720.4207969215</v>
      </c>
      <c r="J33" s="19">
        <f>Investment_Master!Q33/5</f>
        <v>5658720.4207969215</v>
      </c>
      <c r="K33" s="19">
        <f t="shared" si="1"/>
        <v>-6141579.2913875543</v>
      </c>
      <c r="L33" s="20">
        <f t="shared" si="2"/>
        <v>2.1713745008778984E-2</v>
      </c>
      <c r="M33" s="21">
        <f>Investment_Master!V33</f>
        <v>4.6901062477764812</v>
      </c>
    </row>
    <row r="34" spans="1:13" ht="15" customHeight="1" x14ac:dyDescent="0.25">
      <c r="A34" s="17" t="str">
        <f>Investment_Master!A34</f>
        <v>INV-030</v>
      </c>
      <c r="B34" s="17" t="str">
        <f>Investment_Master!B34</f>
        <v>RPA Finance Rollout – East</v>
      </c>
      <c r="C34" s="19">
        <f>Investment_Master!J34</f>
        <v>25230000</v>
      </c>
      <c r="D34" s="20">
        <f>Investment_Master!Y34</f>
        <v>0.1</v>
      </c>
      <c r="E34" s="19">
        <f t="shared" si="0"/>
        <v>-25230000</v>
      </c>
      <c r="F34" s="19">
        <f>Investment_Master!Q34/5</f>
        <v>7000557.5239870073</v>
      </c>
      <c r="G34" s="19">
        <f>Investment_Master!Q34/5</f>
        <v>7000557.5239870073</v>
      </c>
      <c r="H34" s="19">
        <f>Investment_Master!Q34/5</f>
        <v>7000557.5239870073</v>
      </c>
      <c r="I34" s="19">
        <f>Investment_Master!Q34/5</f>
        <v>7000557.5239870073</v>
      </c>
      <c r="J34" s="19">
        <f>Investment_Master!Q34/5</f>
        <v>7000557.5239870073</v>
      </c>
      <c r="K34" s="19">
        <f t="shared" si="1"/>
        <v>1307620.8404127061</v>
      </c>
      <c r="L34" s="20">
        <f t="shared" si="2"/>
        <v>0.12008708328598572</v>
      </c>
      <c r="M34" s="21">
        <f>Investment_Master!V34</f>
        <v>3.6039986691846839</v>
      </c>
    </row>
    <row r="35" spans="1:13" ht="15" customHeight="1" x14ac:dyDescent="0.25">
      <c r="A35" s="17" t="str">
        <f>Investment_Master!A35</f>
        <v>INV-031</v>
      </c>
      <c r="B35" s="17" t="str">
        <f>Investment_Master!B35</f>
        <v>Leadership Development – Central</v>
      </c>
      <c r="C35" s="19">
        <f>Investment_Master!J35</f>
        <v>10930000</v>
      </c>
      <c r="D35" s="20">
        <f>Investment_Master!Y35</f>
        <v>0.1</v>
      </c>
      <c r="E35" s="19">
        <f t="shared" si="0"/>
        <v>-10930000</v>
      </c>
      <c r="F35" s="19">
        <f>Investment_Master!Q35/5</f>
        <v>2421341.0278904578</v>
      </c>
      <c r="G35" s="19">
        <f>Investment_Master!Q35/5</f>
        <v>2421341.0278904578</v>
      </c>
      <c r="H35" s="19">
        <f>Investment_Master!Q35/5</f>
        <v>2421341.0278904578</v>
      </c>
      <c r="I35" s="19">
        <f>Investment_Master!Q35/5</f>
        <v>2421341.0278904578</v>
      </c>
      <c r="J35" s="19">
        <f>Investment_Master!Q35/5</f>
        <v>2421341.0278904578</v>
      </c>
      <c r="K35" s="19">
        <f t="shared" si="1"/>
        <v>-1751212.4672470037</v>
      </c>
      <c r="L35" s="20">
        <f t="shared" si="2"/>
        <v>3.5080162944059579E-2</v>
      </c>
      <c r="M35" s="21">
        <f>Investment_Master!V35</f>
        <v>4.514027505461522</v>
      </c>
    </row>
    <row r="36" spans="1:13" ht="15" customHeight="1" x14ac:dyDescent="0.25">
      <c r="A36" s="17" t="str">
        <f>Investment_Master!A36</f>
        <v>INV-032</v>
      </c>
      <c r="B36" s="17" t="str">
        <f>Investment_Master!B36</f>
        <v>Plant Utility Upgrade – South</v>
      </c>
      <c r="C36" s="19">
        <f>Investment_Master!J36</f>
        <v>19850000</v>
      </c>
      <c r="D36" s="20">
        <f>Investment_Master!Y36</f>
        <v>0.11</v>
      </c>
      <c r="E36" s="19">
        <f t="shared" si="0"/>
        <v>-19850000</v>
      </c>
      <c r="F36" s="19">
        <f>Investment_Master!Q36/5</f>
        <v>3949794.9538720744</v>
      </c>
      <c r="G36" s="19">
        <f>Investment_Master!Q36/5</f>
        <v>3949794.9538720744</v>
      </c>
      <c r="H36" s="19">
        <f>Investment_Master!Q36/5</f>
        <v>3949794.9538720744</v>
      </c>
      <c r="I36" s="19">
        <f>Investment_Master!Q36/5</f>
        <v>3949794.9538720744</v>
      </c>
      <c r="J36" s="19">
        <f>Investment_Master!Q36/5</f>
        <v>3949794.9538720744</v>
      </c>
      <c r="K36" s="19">
        <f t="shared" si="1"/>
        <v>-5251964.6096572969</v>
      </c>
      <c r="L36" s="20">
        <f t="shared" si="2"/>
        <v>-1.6984021036440256E-3</v>
      </c>
      <c r="M36" s="21">
        <f>Investment_Master!V36</f>
        <v>5.0255773354868944</v>
      </c>
    </row>
    <row r="37" spans="1:13" ht="15" customHeight="1" x14ac:dyDescent="0.25">
      <c r="A37" s="17" t="str">
        <f>Investment_Master!A37</f>
        <v>INV-033</v>
      </c>
      <c r="B37" s="17" t="str">
        <f>Investment_Master!B37</f>
        <v>ERP Cloud Migration – West</v>
      </c>
      <c r="C37" s="19">
        <f>Investment_Master!J37</f>
        <v>15810000</v>
      </c>
      <c r="D37" s="20">
        <f>Investment_Master!Y37</f>
        <v>0.1</v>
      </c>
      <c r="E37" s="19">
        <f t="shared" ref="E37:E68" si="3">-C37</f>
        <v>-15810000</v>
      </c>
      <c r="F37" s="19">
        <f>Investment_Master!Q37/5</f>
        <v>4188230.3491748599</v>
      </c>
      <c r="G37" s="19">
        <f>Investment_Master!Q37/5</f>
        <v>4188230.3491748599</v>
      </c>
      <c r="H37" s="19">
        <f>Investment_Master!Q37/5</f>
        <v>4188230.3491748599</v>
      </c>
      <c r="I37" s="19">
        <f>Investment_Master!Q37/5</f>
        <v>4188230.3491748599</v>
      </c>
      <c r="J37" s="19">
        <f>Investment_Master!Q37/5</f>
        <v>4188230.3491748599</v>
      </c>
      <c r="K37" s="19">
        <f t="shared" ref="K37:K68" si="4">NPV(D37,F37:J37)+E37</f>
        <v>66688.194886980578</v>
      </c>
      <c r="L37" s="20">
        <f t="shared" ref="L37:L68" si="5">IFERROR(IRR(E37:J37),0)</f>
        <v>0.10164977247916118</v>
      </c>
      <c r="M37" s="21">
        <f>Investment_Master!V37</f>
        <v>3.7748640074476305</v>
      </c>
    </row>
    <row r="38" spans="1:13" ht="15" customHeight="1" x14ac:dyDescent="0.25">
      <c r="A38" s="17" t="str">
        <f>Investment_Master!A38</f>
        <v>INV-034</v>
      </c>
      <c r="B38" s="17" t="str">
        <f>Investment_Master!B38</f>
        <v>Brand Repositioning – North</v>
      </c>
      <c r="C38" s="19">
        <f>Investment_Master!J38</f>
        <v>20530000</v>
      </c>
      <c r="D38" s="20">
        <f>Investment_Master!Y38</f>
        <v>0.11</v>
      </c>
      <c r="E38" s="19">
        <f t="shared" si="3"/>
        <v>-20530000</v>
      </c>
      <c r="F38" s="19">
        <f>Investment_Master!Q38/5</f>
        <v>4878505.7459293902</v>
      </c>
      <c r="G38" s="19">
        <f>Investment_Master!Q38/5</f>
        <v>4878505.7459293902</v>
      </c>
      <c r="H38" s="19">
        <f>Investment_Master!Q38/5</f>
        <v>4878505.7459293902</v>
      </c>
      <c r="I38" s="19">
        <f>Investment_Master!Q38/5</f>
        <v>4878505.7459293902</v>
      </c>
      <c r="J38" s="19">
        <f>Investment_Master!Q38/5</f>
        <v>4878505.7459293902</v>
      </c>
      <c r="K38" s="19">
        <f t="shared" si="4"/>
        <v>-2499545.1630337909</v>
      </c>
      <c r="L38" s="20">
        <f t="shared" si="5"/>
        <v>6.0358762576186553E-2</v>
      </c>
      <c r="M38" s="21">
        <f>Investment_Master!V38</f>
        <v>4.2082557793705924</v>
      </c>
    </row>
    <row r="39" spans="1:13" ht="15" customHeight="1" x14ac:dyDescent="0.25">
      <c r="A39" s="17" t="str">
        <f>Investment_Master!A39</f>
        <v>INV-035</v>
      </c>
      <c r="B39" s="17" t="str">
        <f>Investment_Master!B39</f>
        <v>Premium Product Line – East</v>
      </c>
      <c r="C39" s="19">
        <f>Investment_Master!J39</f>
        <v>18730000</v>
      </c>
      <c r="D39" s="20">
        <f>Investment_Master!Y39</f>
        <v>0.11</v>
      </c>
      <c r="E39" s="19">
        <f t="shared" si="3"/>
        <v>-18730000</v>
      </c>
      <c r="F39" s="19">
        <f>Investment_Master!Q39/5</f>
        <v>3884452.8511151881</v>
      </c>
      <c r="G39" s="19">
        <f>Investment_Master!Q39/5</f>
        <v>3884452.8511151881</v>
      </c>
      <c r="H39" s="19">
        <f>Investment_Master!Q39/5</f>
        <v>3884452.8511151881</v>
      </c>
      <c r="I39" s="19">
        <f>Investment_Master!Q39/5</f>
        <v>3884452.8511151881</v>
      </c>
      <c r="J39" s="19">
        <f>Investment_Master!Q39/5</f>
        <v>3884452.8511151881</v>
      </c>
      <c r="K39" s="19">
        <f t="shared" si="4"/>
        <v>-4373462.2923634183</v>
      </c>
      <c r="L39" s="20">
        <f t="shared" si="5"/>
        <v>1.2221101133348622E-2</v>
      </c>
      <c r="M39" s="21">
        <f>Investment_Master!V39</f>
        <v>4.8217859034182382</v>
      </c>
    </row>
    <row r="40" spans="1:13" ht="15" customHeight="1" x14ac:dyDescent="0.25">
      <c r="A40" s="17" t="str">
        <f>Investment_Master!A40</f>
        <v>INV-036</v>
      </c>
      <c r="B40" s="17" t="str">
        <f>Investment_Master!B40</f>
        <v>Tier-2 City Expansion – Central</v>
      </c>
      <c r="C40" s="19">
        <f>Investment_Master!J40</f>
        <v>34210000</v>
      </c>
      <c r="D40" s="20">
        <f>Investment_Master!Y40</f>
        <v>0.09</v>
      </c>
      <c r="E40" s="19">
        <f t="shared" si="3"/>
        <v>-34210000</v>
      </c>
      <c r="F40" s="19">
        <f>Investment_Master!Q40/5</f>
        <v>7952731.2312920392</v>
      </c>
      <c r="G40" s="19">
        <f>Investment_Master!Q40/5</f>
        <v>7952731.2312920392</v>
      </c>
      <c r="H40" s="19">
        <f>Investment_Master!Q40/5</f>
        <v>7952731.2312920392</v>
      </c>
      <c r="I40" s="19">
        <f>Investment_Master!Q40/5</f>
        <v>7952731.2312920392</v>
      </c>
      <c r="J40" s="19">
        <f>Investment_Master!Q40/5</f>
        <v>7952731.2312920392</v>
      </c>
      <c r="K40" s="19">
        <f t="shared" si="4"/>
        <v>-3276648.9191082679</v>
      </c>
      <c r="L40" s="20">
        <f t="shared" si="5"/>
        <v>5.2335554895206915E-2</v>
      </c>
      <c r="M40" s="21">
        <f>Investment_Master!V40</f>
        <v>4.301666811697606</v>
      </c>
    </row>
    <row r="41" spans="1:13" ht="15" customHeight="1" x14ac:dyDescent="0.25">
      <c r="A41" s="17" t="str">
        <f>Investment_Master!A41</f>
        <v>INV-037</v>
      </c>
      <c r="B41" s="17" t="str">
        <f>Investment_Master!B41</f>
        <v>Automated Packaging Line – South</v>
      </c>
      <c r="C41" s="19">
        <f>Investment_Master!J41</f>
        <v>11870000</v>
      </c>
      <c r="D41" s="20">
        <f>Investment_Master!Y41</f>
        <v>0.11</v>
      </c>
      <c r="E41" s="19">
        <f t="shared" si="3"/>
        <v>-11870000</v>
      </c>
      <c r="F41" s="19">
        <f>Investment_Master!Q41/5</f>
        <v>2740203.3979149498</v>
      </c>
      <c r="G41" s="19">
        <f>Investment_Master!Q41/5</f>
        <v>2740203.3979149498</v>
      </c>
      <c r="H41" s="19">
        <f>Investment_Master!Q41/5</f>
        <v>2740203.3979149498</v>
      </c>
      <c r="I41" s="19">
        <f>Investment_Master!Q41/5</f>
        <v>2740203.3979149498</v>
      </c>
      <c r="J41" s="19">
        <f>Investment_Master!Q41/5</f>
        <v>2740203.3979149498</v>
      </c>
      <c r="K41" s="19">
        <f t="shared" si="4"/>
        <v>-1742490.4338932075</v>
      </c>
      <c r="L41" s="20">
        <f t="shared" si="5"/>
        <v>4.9806352241822394E-2</v>
      </c>
      <c r="M41" s="21">
        <f>Investment_Master!V41</f>
        <v>4.3317952269645419</v>
      </c>
    </row>
    <row r="42" spans="1:13" ht="15" customHeight="1" x14ac:dyDescent="0.25">
      <c r="A42" s="17" t="str">
        <f>Investment_Master!A42</f>
        <v>INV-038</v>
      </c>
      <c r="B42" s="17" t="str">
        <f>Investment_Master!B42</f>
        <v>RPA Finance Rollout – West</v>
      </c>
      <c r="C42" s="19">
        <f>Investment_Master!J42</f>
        <v>31870000</v>
      </c>
      <c r="D42" s="20">
        <f>Investment_Master!Y42</f>
        <v>0.11</v>
      </c>
      <c r="E42" s="19">
        <f t="shared" si="3"/>
        <v>-31870000</v>
      </c>
      <c r="F42" s="19">
        <f>Investment_Master!Q42/5</f>
        <v>6804082.2806654545</v>
      </c>
      <c r="G42" s="19">
        <f>Investment_Master!Q42/5</f>
        <v>6804082.2806654545</v>
      </c>
      <c r="H42" s="19">
        <f>Investment_Master!Q42/5</f>
        <v>6804082.2806654545</v>
      </c>
      <c r="I42" s="19">
        <f>Investment_Master!Q42/5</f>
        <v>6804082.2806654545</v>
      </c>
      <c r="J42" s="19">
        <f>Investment_Master!Q42/5</f>
        <v>6804082.2806654545</v>
      </c>
      <c r="K42" s="19">
        <f t="shared" si="4"/>
        <v>-6722812.5910469815</v>
      </c>
      <c r="L42" s="20">
        <f t="shared" si="5"/>
        <v>2.2167536418655986E-2</v>
      </c>
      <c r="M42" s="21">
        <f>Investment_Master!V42</f>
        <v>4.6839527632642097</v>
      </c>
    </row>
    <row r="43" spans="1:13" ht="15" customHeight="1" x14ac:dyDescent="0.25">
      <c r="A43" s="17" t="str">
        <f>Investment_Master!A43</f>
        <v>INV-039</v>
      </c>
      <c r="B43" s="17" t="str">
        <f>Investment_Master!B43</f>
        <v>Leadership Development – North</v>
      </c>
      <c r="C43" s="19">
        <f>Investment_Master!J43</f>
        <v>11700000</v>
      </c>
      <c r="D43" s="20">
        <f>Investment_Master!Y43</f>
        <v>0.1</v>
      </c>
      <c r="E43" s="19">
        <f t="shared" si="3"/>
        <v>-11700000</v>
      </c>
      <c r="F43" s="19">
        <f>Investment_Master!Q43/5</f>
        <v>2219677.0909884376</v>
      </c>
      <c r="G43" s="19">
        <f>Investment_Master!Q43/5</f>
        <v>2219677.0909884376</v>
      </c>
      <c r="H43" s="19">
        <f>Investment_Master!Q43/5</f>
        <v>2219677.0909884376</v>
      </c>
      <c r="I43" s="19">
        <f>Investment_Master!Q43/5</f>
        <v>2219677.0909884376</v>
      </c>
      <c r="J43" s="19">
        <f>Investment_Master!Q43/5</f>
        <v>2219677.0909884376</v>
      </c>
      <c r="K43" s="19">
        <f t="shared" si="4"/>
        <v>-3285677.4511220008</v>
      </c>
      <c r="L43" s="20">
        <f t="shared" si="5"/>
        <v>-1.7342250081645139E-2</v>
      </c>
      <c r="M43" s="21">
        <f>Investment_Master!V43</f>
        <v>5.2710369663678911</v>
      </c>
    </row>
    <row r="44" spans="1:13" ht="15" customHeight="1" x14ac:dyDescent="0.25">
      <c r="A44" s="17" t="str">
        <f>Investment_Master!A44</f>
        <v>INV-040</v>
      </c>
      <c r="B44" s="17" t="str">
        <f>Investment_Master!B44</f>
        <v>Plant Utility Upgrade – East</v>
      </c>
      <c r="C44" s="19">
        <f>Investment_Master!J44</f>
        <v>42930000</v>
      </c>
      <c r="D44" s="20">
        <f>Investment_Master!Y44</f>
        <v>0.11</v>
      </c>
      <c r="E44" s="19">
        <f t="shared" si="3"/>
        <v>-42930000</v>
      </c>
      <c r="F44" s="19">
        <f>Investment_Master!Q44/5</f>
        <v>10201446.317869226</v>
      </c>
      <c r="G44" s="19">
        <f>Investment_Master!Q44/5</f>
        <v>10201446.317869226</v>
      </c>
      <c r="H44" s="19">
        <f>Investment_Master!Q44/5</f>
        <v>10201446.317869226</v>
      </c>
      <c r="I44" s="19">
        <f>Investment_Master!Q44/5</f>
        <v>10201446.317869226</v>
      </c>
      <c r="J44" s="19">
        <f>Investment_Master!Q44/5</f>
        <v>10201446.317869226</v>
      </c>
      <c r="K44" s="19">
        <f t="shared" si="4"/>
        <v>-5226504.9780760184</v>
      </c>
      <c r="L44" s="20">
        <f t="shared" si="5"/>
        <v>6.0361293623078405E-2</v>
      </c>
      <c r="M44" s="21">
        <f>Investment_Master!V44</f>
        <v>4.2082268202306023</v>
      </c>
    </row>
    <row r="45" spans="1:13" ht="15" customHeight="1" x14ac:dyDescent="0.25">
      <c r="A45" s="17" t="str">
        <f>Investment_Master!A45</f>
        <v>INV-041</v>
      </c>
      <c r="B45" s="17" t="str">
        <f>Investment_Master!B45</f>
        <v>ERP Cloud Migration – Central</v>
      </c>
      <c r="C45" s="19">
        <f>Investment_Master!J45</f>
        <v>37920000</v>
      </c>
      <c r="D45" s="20">
        <f>Investment_Master!Y45</f>
        <v>0.12</v>
      </c>
      <c r="E45" s="19">
        <f t="shared" si="3"/>
        <v>-37920000</v>
      </c>
      <c r="F45" s="19">
        <f>Investment_Master!Q45/5</f>
        <v>8515990.1178774368</v>
      </c>
      <c r="G45" s="19">
        <f>Investment_Master!Q45/5</f>
        <v>8515990.1178774368</v>
      </c>
      <c r="H45" s="19">
        <f>Investment_Master!Q45/5</f>
        <v>8515990.1178774368</v>
      </c>
      <c r="I45" s="19">
        <f>Investment_Master!Q45/5</f>
        <v>8515990.1178774368</v>
      </c>
      <c r="J45" s="19">
        <f>Investment_Master!Q45/5</f>
        <v>8515990.1178774368</v>
      </c>
      <c r="K45" s="19">
        <f t="shared" si="4"/>
        <v>-7221761.48367019</v>
      </c>
      <c r="L45" s="20">
        <f t="shared" si="5"/>
        <v>3.9921846528377269E-2</v>
      </c>
      <c r="M45" s="21">
        <f>Investment_Master!V45</f>
        <v>4.4527999064248975</v>
      </c>
    </row>
    <row r="46" spans="1:13" ht="15" customHeight="1" x14ac:dyDescent="0.25">
      <c r="A46" s="17" t="str">
        <f>Investment_Master!A46</f>
        <v>INV-042</v>
      </c>
      <c r="B46" s="17" t="str">
        <f>Investment_Master!B46</f>
        <v>Brand Repositioning – South</v>
      </c>
      <c r="C46" s="19">
        <f>Investment_Master!J46</f>
        <v>7550000</v>
      </c>
      <c r="D46" s="20">
        <f>Investment_Master!Y46</f>
        <v>0.11</v>
      </c>
      <c r="E46" s="19">
        <f t="shared" si="3"/>
        <v>-7550000</v>
      </c>
      <c r="F46" s="19">
        <f>Investment_Master!Q46/5</f>
        <v>1837311.5972506944</v>
      </c>
      <c r="G46" s="19">
        <f>Investment_Master!Q46/5</f>
        <v>1837311.5972506944</v>
      </c>
      <c r="H46" s="19">
        <f>Investment_Master!Q46/5</f>
        <v>1837311.5972506944</v>
      </c>
      <c r="I46" s="19">
        <f>Investment_Master!Q46/5</f>
        <v>1837311.5972506944</v>
      </c>
      <c r="J46" s="19">
        <f>Investment_Master!Q46/5</f>
        <v>1837311.5972506944</v>
      </c>
      <c r="K46" s="19">
        <f t="shared" si="4"/>
        <v>-759485.54722838383</v>
      </c>
      <c r="L46" s="20">
        <f t="shared" si="5"/>
        <v>6.9175514612309863E-2</v>
      </c>
      <c r="M46" s="21">
        <f>Investment_Master!V46</f>
        <v>4.1092648690062292</v>
      </c>
    </row>
    <row r="47" spans="1:13" ht="15" customHeight="1" x14ac:dyDescent="0.25">
      <c r="A47" s="17" t="str">
        <f>Investment_Master!A47</f>
        <v>INV-043</v>
      </c>
      <c r="B47" s="17" t="str">
        <f>Investment_Master!B47</f>
        <v>Premium Product Line – West</v>
      </c>
      <c r="C47" s="19">
        <f>Investment_Master!J47</f>
        <v>30280000</v>
      </c>
      <c r="D47" s="20">
        <f>Investment_Master!Y47</f>
        <v>0.1</v>
      </c>
      <c r="E47" s="19">
        <f t="shared" si="3"/>
        <v>-30280000</v>
      </c>
      <c r="F47" s="19">
        <f>Investment_Master!Q47/5</f>
        <v>6378041.1869770391</v>
      </c>
      <c r="G47" s="19">
        <f>Investment_Master!Q47/5</f>
        <v>6378041.1869770391</v>
      </c>
      <c r="H47" s="19">
        <f>Investment_Master!Q47/5</f>
        <v>6378041.1869770391</v>
      </c>
      <c r="I47" s="19">
        <f>Investment_Master!Q47/5</f>
        <v>6378041.1869770391</v>
      </c>
      <c r="J47" s="19">
        <f>Investment_Master!Q47/5</f>
        <v>6378041.1869770391</v>
      </c>
      <c r="K47" s="19">
        <f t="shared" si="4"/>
        <v>-6102205.8536652923</v>
      </c>
      <c r="L47" s="20">
        <f t="shared" si="5"/>
        <v>1.7522836294170174E-2</v>
      </c>
      <c r="M47" s="21">
        <f>Investment_Master!V47</f>
        <v>4.7475391130786386</v>
      </c>
    </row>
    <row r="48" spans="1:13" ht="15" customHeight="1" x14ac:dyDescent="0.25">
      <c r="A48" s="17" t="str">
        <f>Investment_Master!A48</f>
        <v>INV-044</v>
      </c>
      <c r="B48" s="17" t="str">
        <f>Investment_Master!B48</f>
        <v>Tier-2 City Expansion – North</v>
      </c>
      <c r="C48" s="19">
        <f>Investment_Master!J48</f>
        <v>29100000</v>
      </c>
      <c r="D48" s="20">
        <f>Investment_Master!Y48</f>
        <v>0.09</v>
      </c>
      <c r="E48" s="19">
        <f t="shared" si="3"/>
        <v>-29100000</v>
      </c>
      <c r="F48" s="19">
        <f>Investment_Master!Q48/5</f>
        <v>5974344.6021196367</v>
      </c>
      <c r="G48" s="19">
        <f>Investment_Master!Q48/5</f>
        <v>5974344.6021196367</v>
      </c>
      <c r="H48" s="19">
        <f>Investment_Master!Q48/5</f>
        <v>5974344.6021196367</v>
      </c>
      <c r="I48" s="19">
        <f>Investment_Master!Q48/5</f>
        <v>5974344.6021196367</v>
      </c>
      <c r="J48" s="19">
        <f>Investment_Master!Q48/5</f>
        <v>5974344.6021196367</v>
      </c>
      <c r="K48" s="19">
        <f t="shared" si="4"/>
        <v>-5861882.9706668481</v>
      </c>
      <c r="L48" s="20">
        <f t="shared" si="5"/>
        <v>8.7886303416104816E-3</v>
      </c>
      <c r="M48" s="21">
        <f>Investment_Master!V48</f>
        <v>4.8708271681676374</v>
      </c>
    </row>
    <row r="49" spans="1:13" ht="15" customHeight="1" x14ac:dyDescent="0.25">
      <c r="A49" s="17" t="str">
        <f>Investment_Master!A49</f>
        <v>INV-045</v>
      </c>
      <c r="B49" s="17" t="str">
        <f>Investment_Master!B49</f>
        <v>Automated Packaging Line – East</v>
      </c>
      <c r="C49" s="19">
        <f>Investment_Master!J49</f>
        <v>33850000</v>
      </c>
      <c r="D49" s="20">
        <f>Investment_Master!Y49</f>
        <v>0.11</v>
      </c>
      <c r="E49" s="19">
        <f t="shared" si="3"/>
        <v>-33850000</v>
      </c>
      <c r="F49" s="19">
        <f>Investment_Master!Q49/5</f>
        <v>7879753.1759768622</v>
      </c>
      <c r="G49" s="19">
        <f>Investment_Master!Q49/5</f>
        <v>7879753.1759768622</v>
      </c>
      <c r="H49" s="19">
        <f>Investment_Master!Q49/5</f>
        <v>7879753.1759768622</v>
      </c>
      <c r="I49" s="19">
        <f>Investment_Master!Q49/5</f>
        <v>7879753.1759768622</v>
      </c>
      <c r="J49" s="19">
        <f>Investment_Master!Q49/5</f>
        <v>7879753.1759768622</v>
      </c>
      <c r="K49" s="19">
        <f t="shared" si="4"/>
        <v>-4727243.7370932214</v>
      </c>
      <c r="L49" s="20">
        <f t="shared" si="5"/>
        <v>5.2829642665181531E-2</v>
      </c>
      <c r="M49" s="21">
        <f>Investment_Master!V49</f>
        <v>4.2958198364891773</v>
      </c>
    </row>
    <row r="50" spans="1:13" ht="15" customHeight="1" x14ac:dyDescent="0.25">
      <c r="A50" s="17" t="str">
        <f>Investment_Master!A50</f>
        <v>INV-046</v>
      </c>
      <c r="B50" s="17" t="str">
        <f>Investment_Master!B50</f>
        <v>RPA Finance Rollout – Central</v>
      </c>
      <c r="C50" s="19">
        <f>Investment_Master!J50</f>
        <v>13720000</v>
      </c>
      <c r="D50" s="20">
        <f>Investment_Master!Y50</f>
        <v>0.1</v>
      </c>
      <c r="E50" s="19">
        <f t="shared" si="3"/>
        <v>-13720000</v>
      </c>
      <c r="F50" s="19">
        <f>Investment_Master!Q50/5</f>
        <v>3656642.7690763897</v>
      </c>
      <c r="G50" s="19">
        <f>Investment_Master!Q50/5</f>
        <v>3656642.7690763897</v>
      </c>
      <c r="H50" s="19">
        <f>Investment_Master!Q50/5</f>
        <v>3656642.7690763897</v>
      </c>
      <c r="I50" s="19">
        <f>Investment_Master!Q50/5</f>
        <v>3656642.7690763897</v>
      </c>
      <c r="J50" s="19">
        <f>Investment_Master!Q50/5</f>
        <v>3656642.7690763897</v>
      </c>
      <c r="K50" s="19">
        <f t="shared" si="4"/>
        <v>141553.02946784906</v>
      </c>
      <c r="L50" s="20">
        <f t="shared" si="5"/>
        <v>0.10403045792269872</v>
      </c>
      <c r="M50" s="21">
        <f>Investment_Master!V50</f>
        <v>3.7520755694342696</v>
      </c>
    </row>
    <row r="51" spans="1:13" ht="15" customHeight="1" x14ac:dyDescent="0.25">
      <c r="A51" s="17" t="str">
        <f>Investment_Master!A51</f>
        <v>INV-047</v>
      </c>
      <c r="B51" s="17" t="str">
        <f>Investment_Master!B51</f>
        <v>Leadership Development – South</v>
      </c>
      <c r="C51" s="19">
        <f>Investment_Master!J51</f>
        <v>2590000</v>
      </c>
      <c r="D51" s="20">
        <f>Investment_Master!Y51</f>
        <v>0.12</v>
      </c>
      <c r="E51" s="19">
        <f t="shared" si="3"/>
        <v>-2590000</v>
      </c>
      <c r="F51" s="19">
        <f>Investment_Master!Q51/5</f>
        <v>519429.64394560223</v>
      </c>
      <c r="G51" s="19">
        <f>Investment_Master!Q51/5</f>
        <v>519429.64394560223</v>
      </c>
      <c r="H51" s="19">
        <f>Investment_Master!Q51/5</f>
        <v>519429.64394560223</v>
      </c>
      <c r="I51" s="19">
        <f>Investment_Master!Q51/5</f>
        <v>519429.64394560223</v>
      </c>
      <c r="J51" s="19">
        <f>Investment_Master!Q51/5</f>
        <v>519429.64394560223</v>
      </c>
      <c r="K51" s="19">
        <f t="shared" si="4"/>
        <v>-717572.38071235432</v>
      </c>
      <c r="L51" s="20">
        <f t="shared" si="5"/>
        <v>9.1941351061697318E-4</v>
      </c>
      <c r="M51" s="21">
        <f>Investment_Master!V51</f>
        <v>4.9862383292687857</v>
      </c>
    </row>
    <row r="52" spans="1:13" ht="15" customHeight="1" x14ac:dyDescent="0.25">
      <c r="A52" s="17" t="str">
        <f>Investment_Master!A52</f>
        <v>INV-048</v>
      </c>
      <c r="B52" s="17" t="str">
        <f>Investment_Master!B52</f>
        <v>Plant Utility Upgrade – West</v>
      </c>
      <c r="C52" s="19">
        <f>Investment_Master!J52</f>
        <v>18450000</v>
      </c>
      <c r="D52" s="20">
        <f>Investment_Master!Y52</f>
        <v>0.11</v>
      </c>
      <c r="E52" s="19">
        <f t="shared" si="3"/>
        <v>-18450000</v>
      </c>
      <c r="F52" s="19">
        <f>Investment_Master!Q52/5</f>
        <v>4165820.06029718</v>
      </c>
      <c r="G52" s="19">
        <f>Investment_Master!Q52/5</f>
        <v>4165820.06029718</v>
      </c>
      <c r="H52" s="19">
        <f>Investment_Master!Q52/5</f>
        <v>4165820.06029718</v>
      </c>
      <c r="I52" s="19">
        <f>Investment_Master!Q52/5</f>
        <v>4165820.06029718</v>
      </c>
      <c r="J52" s="19">
        <f>Investment_Master!Q52/5</f>
        <v>4165820.06029718</v>
      </c>
      <c r="K52" s="19">
        <f t="shared" si="4"/>
        <v>-3053558.0630833376</v>
      </c>
      <c r="L52" s="20">
        <f t="shared" si="5"/>
        <v>4.18403518828947E-2</v>
      </c>
      <c r="M52" s="21">
        <f>Investment_Master!V52</f>
        <v>4.4288998883652742</v>
      </c>
    </row>
    <row r="53" spans="1:13" ht="15" customHeight="1" x14ac:dyDescent="0.25">
      <c r="A53" s="17" t="str">
        <f>Investment_Master!A53</f>
        <v>INV-049</v>
      </c>
      <c r="B53" s="17" t="str">
        <f>Investment_Master!B53</f>
        <v>ERP Cloud Migration – North</v>
      </c>
      <c r="C53" s="19">
        <f>Investment_Master!J53</f>
        <v>16470000</v>
      </c>
      <c r="D53" s="20">
        <f>Investment_Master!Y53</f>
        <v>0.11</v>
      </c>
      <c r="E53" s="19">
        <f t="shared" si="3"/>
        <v>-16470000</v>
      </c>
      <c r="F53" s="19">
        <f>Investment_Master!Q53/5</f>
        <v>4035554.4083856256</v>
      </c>
      <c r="G53" s="19">
        <f>Investment_Master!Q53/5</f>
        <v>4035554.4083856256</v>
      </c>
      <c r="H53" s="19">
        <f>Investment_Master!Q53/5</f>
        <v>4035554.4083856256</v>
      </c>
      <c r="I53" s="19">
        <f>Investment_Master!Q53/5</f>
        <v>4035554.4083856256</v>
      </c>
      <c r="J53" s="19">
        <f>Investment_Master!Q53/5</f>
        <v>4035554.4083856256</v>
      </c>
      <c r="K53" s="19">
        <f t="shared" si="4"/>
        <v>-1555006.497485416</v>
      </c>
      <c r="L53" s="20">
        <f t="shared" si="5"/>
        <v>7.1734679189317418E-2</v>
      </c>
      <c r="M53" s="21">
        <f>Investment_Master!V53</f>
        <v>4.0812236271121476</v>
      </c>
    </row>
    <row r="54" spans="1:13" ht="15" customHeight="1" x14ac:dyDescent="0.25">
      <c r="A54" s="17" t="str">
        <f>Investment_Master!A54</f>
        <v>INV-050</v>
      </c>
      <c r="B54" s="17" t="str">
        <f>Investment_Master!B54</f>
        <v>Brand Repositioning – East</v>
      </c>
      <c r="C54" s="19">
        <f>Investment_Master!J54</f>
        <v>12120000</v>
      </c>
      <c r="D54" s="20">
        <f>Investment_Master!Y54</f>
        <v>0.12</v>
      </c>
      <c r="E54" s="19">
        <f t="shared" si="3"/>
        <v>-12120000</v>
      </c>
      <c r="F54" s="19">
        <f>Investment_Master!Q54/5</f>
        <v>2548441.1206496274</v>
      </c>
      <c r="G54" s="19">
        <f>Investment_Master!Q54/5</f>
        <v>2548441.1206496274</v>
      </c>
      <c r="H54" s="19">
        <f>Investment_Master!Q54/5</f>
        <v>2548441.1206496274</v>
      </c>
      <c r="I54" s="19">
        <f>Investment_Master!Q54/5</f>
        <v>2548441.1206496274</v>
      </c>
      <c r="J54" s="19">
        <f>Investment_Master!Q54/5</f>
        <v>2548441.1206496274</v>
      </c>
      <c r="K54" s="19">
        <f t="shared" si="4"/>
        <v>-2933440.0952047892</v>
      </c>
      <c r="L54" s="20">
        <f t="shared" si="5"/>
        <v>1.6923059334829071E-2</v>
      </c>
      <c r="M54" s="21">
        <f>Investment_Master!V54</f>
        <v>4.7558485467031195</v>
      </c>
    </row>
    <row r="55" spans="1:13" ht="15" customHeight="1" x14ac:dyDescent="0.25">
      <c r="A55" s="17" t="str">
        <f>Investment_Master!A55</f>
        <v>INV-051</v>
      </c>
      <c r="B55" s="17" t="str">
        <f>Investment_Master!B55</f>
        <v>Premium Product Line – Central</v>
      </c>
      <c r="C55" s="19">
        <f>Investment_Master!J55</f>
        <v>23560000</v>
      </c>
      <c r="D55" s="20">
        <f>Investment_Master!Y55</f>
        <v>0.11</v>
      </c>
      <c r="E55" s="19">
        <f t="shared" si="3"/>
        <v>-23560000</v>
      </c>
      <c r="F55" s="19">
        <f>Investment_Master!Q55/5</f>
        <v>5376853.9439006625</v>
      </c>
      <c r="G55" s="19">
        <f>Investment_Master!Q55/5</f>
        <v>5376853.9439006625</v>
      </c>
      <c r="H55" s="19">
        <f>Investment_Master!Q55/5</f>
        <v>5376853.9439006625</v>
      </c>
      <c r="I55" s="19">
        <f>Investment_Master!Q55/5</f>
        <v>5376853.9439006625</v>
      </c>
      <c r="J55" s="19">
        <f>Investment_Master!Q55/5</f>
        <v>5376853.9439006625</v>
      </c>
      <c r="K55" s="19">
        <f t="shared" si="4"/>
        <v>-3687701.5444007777</v>
      </c>
      <c r="L55" s="20">
        <f t="shared" si="5"/>
        <v>4.5673938629395394E-2</v>
      </c>
      <c r="M55" s="21">
        <f>Investment_Master!V55</f>
        <v>4.3817444635493104</v>
      </c>
    </row>
    <row r="56" spans="1:13" ht="15" customHeight="1" x14ac:dyDescent="0.25">
      <c r="A56" s="17" t="str">
        <f>Investment_Master!A56</f>
        <v>INV-052</v>
      </c>
      <c r="B56" s="17" t="str">
        <f>Investment_Master!B56</f>
        <v>Tier-2 City Expansion – South</v>
      </c>
      <c r="C56" s="19">
        <f>Investment_Master!J56</f>
        <v>47240000</v>
      </c>
      <c r="D56" s="20">
        <f>Investment_Master!Y56</f>
        <v>0.09</v>
      </c>
      <c r="E56" s="19">
        <f t="shared" si="3"/>
        <v>-47240000</v>
      </c>
      <c r="F56" s="19">
        <f>Investment_Master!Q56/5</f>
        <v>11275086.162676059</v>
      </c>
      <c r="G56" s="19">
        <f>Investment_Master!Q56/5</f>
        <v>11275086.162676059</v>
      </c>
      <c r="H56" s="19">
        <f>Investment_Master!Q56/5</f>
        <v>11275086.162676059</v>
      </c>
      <c r="I56" s="19">
        <f>Investment_Master!Q56/5</f>
        <v>11275086.162676059</v>
      </c>
      <c r="J56" s="19">
        <f>Investment_Master!Q56/5</f>
        <v>11275086.162676059</v>
      </c>
      <c r="K56" s="19">
        <f t="shared" si="4"/>
        <v>-3383846.862947613</v>
      </c>
      <c r="L56" s="20">
        <f t="shared" si="5"/>
        <v>6.1980212920259126E-2</v>
      </c>
      <c r="M56" s="21">
        <f>Investment_Master!V56</f>
        <v>4.1897684255734271</v>
      </c>
    </row>
    <row r="57" spans="1:13" ht="15" customHeight="1" x14ac:dyDescent="0.25">
      <c r="A57" s="17" t="str">
        <f>Investment_Master!A57</f>
        <v>INV-053</v>
      </c>
      <c r="B57" s="17" t="str">
        <f>Investment_Master!B57</f>
        <v>Automated Packaging Line – West</v>
      </c>
      <c r="C57" s="19">
        <f>Investment_Master!J57</f>
        <v>30060000</v>
      </c>
      <c r="D57" s="20">
        <f>Investment_Master!Y57</f>
        <v>0.11</v>
      </c>
      <c r="E57" s="19">
        <f t="shared" si="3"/>
        <v>-30060000</v>
      </c>
      <c r="F57" s="19">
        <f>Investment_Master!Q57/5</f>
        <v>7219160.6418089215</v>
      </c>
      <c r="G57" s="19">
        <f>Investment_Master!Q57/5</f>
        <v>7219160.6418089215</v>
      </c>
      <c r="H57" s="19">
        <f>Investment_Master!Q57/5</f>
        <v>7219160.6418089215</v>
      </c>
      <c r="I57" s="19">
        <f>Investment_Master!Q57/5</f>
        <v>7219160.6418089215</v>
      </c>
      <c r="J57" s="19">
        <f>Investment_Master!Q57/5</f>
        <v>7219160.6418089215</v>
      </c>
      <c r="K57" s="19">
        <f t="shared" si="4"/>
        <v>-3378725.7140060104</v>
      </c>
      <c r="L57" s="20">
        <f t="shared" si="5"/>
        <v>6.4266499925562215E-2</v>
      </c>
      <c r="M57" s="21">
        <f>Investment_Master!V57</f>
        <v>4.1639189777702184</v>
      </c>
    </row>
    <row r="58" spans="1:13" ht="15" customHeight="1" x14ac:dyDescent="0.25">
      <c r="A58" s="17" t="str">
        <f>Investment_Master!A58</f>
        <v>INV-054</v>
      </c>
      <c r="B58" s="17" t="str">
        <f>Investment_Master!B58</f>
        <v>RPA Finance Rollout – North</v>
      </c>
      <c r="C58" s="19">
        <f>Investment_Master!J58</f>
        <v>31570000</v>
      </c>
      <c r="D58" s="20">
        <f>Investment_Master!Y58</f>
        <v>0.1</v>
      </c>
      <c r="E58" s="19">
        <f t="shared" si="3"/>
        <v>-31570000</v>
      </c>
      <c r="F58" s="19">
        <f>Investment_Master!Q58/5</f>
        <v>7796088.8157685548</v>
      </c>
      <c r="G58" s="19">
        <f>Investment_Master!Q58/5</f>
        <v>7796088.8157685548</v>
      </c>
      <c r="H58" s="19">
        <f>Investment_Master!Q58/5</f>
        <v>7796088.8157685548</v>
      </c>
      <c r="I58" s="19">
        <f>Investment_Master!Q58/5</f>
        <v>7796088.8157685548</v>
      </c>
      <c r="J58" s="19">
        <f>Investment_Master!Q58/5</f>
        <v>7796088.8157685548</v>
      </c>
      <c r="K58" s="19">
        <f t="shared" si="4"/>
        <v>-2016689.6640513912</v>
      </c>
      <c r="L58" s="20">
        <f t="shared" si="5"/>
        <v>7.4666997455639095E-2</v>
      </c>
      <c r="M58" s="21">
        <f>Investment_Master!V58</f>
        <v>4.0494664370864744</v>
      </c>
    </row>
    <row r="59" spans="1:13" ht="15" customHeight="1" x14ac:dyDescent="0.25">
      <c r="A59" s="17" t="str">
        <f>Investment_Master!A59</f>
        <v>INV-055</v>
      </c>
      <c r="B59" s="17" t="str">
        <f>Investment_Master!B59</f>
        <v>Leadership Development – East</v>
      </c>
      <c r="C59" s="19">
        <f>Investment_Master!J59</f>
        <v>7880000</v>
      </c>
      <c r="D59" s="20">
        <f>Investment_Master!Y59</f>
        <v>0.1</v>
      </c>
      <c r="E59" s="19">
        <f t="shared" si="3"/>
        <v>-7880000</v>
      </c>
      <c r="F59" s="19">
        <f>Investment_Master!Q59/5</f>
        <v>1550035.8623254581</v>
      </c>
      <c r="G59" s="19">
        <f>Investment_Master!Q59/5</f>
        <v>1550035.8623254581</v>
      </c>
      <c r="H59" s="19">
        <f>Investment_Master!Q59/5</f>
        <v>1550035.8623254581</v>
      </c>
      <c r="I59" s="19">
        <f>Investment_Master!Q59/5</f>
        <v>1550035.8623254581</v>
      </c>
      <c r="J59" s="19">
        <f>Investment_Master!Q59/5</f>
        <v>1550035.8623254581</v>
      </c>
      <c r="K59" s="19">
        <f t="shared" si="4"/>
        <v>-2004144.5609880397</v>
      </c>
      <c r="L59" s="20">
        <f t="shared" si="5"/>
        <v>-5.5118785074210752E-3</v>
      </c>
      <c r="M59" s="21">
        <f>Investment_Master!V59</f>
        <v>5.0837533450212851</v>
      </c>
    </row>
    <row r="60" spans="1:13" ht="15" customHeight="1" x14ac:dyDescent="0.25">
      <c r="A60" s="17" t="str">
        <f>Investment_Master!A60</f>
        <v>INV-056</v>
      </c>
      <c r="B60" s="17" t="str">
        <f>Investment_Master!B60</f>
        <v>Plant Utility Upgrade – Central</v>
      </c>
      <c r="C60" s="19">
        <f>Investment_Master!J60</f>
        <v>59340000</v>
      </c>
      <c r="D60" s="20">
        <f>Investment_Master!Y60</f>
        <v>0.12</v>
      </c>
      <c r="E60" s="19">
        <f t="shared" si="3"/>
        <v>-59340000</v>
      </c>
      <c r="F60" s="19">
        <f>Investment_Master!Q60/5</f>
        <v>11831412.456818204</v>
      </c>
      <c r="G60" s="19">
        <f>Investment_Master!Q60/5</f>
        <v>11831412.456818204</v>
      </c>
      <c r="H60" s="19">
        <f>Investment_Master!Q60/5</f>
        <v>11831412.456818204</v>
      </c>
      <c r="I60" s="19">
        <f>Investment_Master!Q60/5</f>
        <v>11831412.456818204</v>
      </c>
      <c r="J60" s="19">
        <f>Investment_Master!Q60/5</f>
        <v>11831412.456818204</v>
      </c>
      <c r="K60" s="19">
        <f t="shared" si="4"/>
        <v>-16690405.935533501</v>
      </c>
      <c r="L60" s="20">
        <f t="shared" si="5"/>
        <v>-1.0283298508414473E-3</v>
      </c>
      <c r="M60" s="21">
        <f>Investment_Master!V60</f>
        <v>5.0154620352030372</v>
      </c>
    </row>
    <row r="61" spans="1:13" ht="15" customHeight="1" x14ac:dyDescent="0.25">
      <c r="A61" s="17" t="str">
        <f>Investment_Master!A61</f>
        <v>INV-057</v>
      </c>
      <c r="B61" s="17" t="str">
        <f>Investment_Master!B61</f>
        <v>ERP Cloud Migration – South</v>
      </c>
      <c r="C61" s="19">
        <f>Investment_Master!J61</f>
        <v>13950000</v>
      </c>
      <c r="D61" s="20">
        <f>Investment_Master!Y61</f>
        <v>0.1</v>
      </c>
      <c r="E61" s="19">
        <f t="shared" si="3"/>
        <v>-13950000</v>
      </c>
      <c r="F61" s="19">
        <f>Investment_Master!Q61/5</f>
        <v>3295065.0619231844</v>
      </c>
      <c r="G61" s="19">
        <f>Investment_Master!Q61/5</f>
        <v>3295065.0619231844</v>
      </c>
      <c r="H61" s="19">
        <f>Investment_Master!Q61/5</f>
        <v>3295065.0619231844</v>
      </c>
      <c r="I61" s="19">
        <f>Investment_Master!Q61/5</f>
        <v>3295065.0619231844</v>
      </c>
      <c r="J61" s="19">
        <f>Investment_Master!Q61/5</f>
        <v>3295065.0619231844</v>
      </c>
      <c r="K61" s="19">
        <f t="shared" si="4"/>
        <v>-1459110.9589215666</v>
      </c>
      <c r="L61" s="20">
        <f t="shared" si="5"/>
        <v>5.8153868814631693E-2</v>
      </c>
      <c r="M61" s="21">
        <f>Investment_Master!V61</f>
        <v>4.2336038098919966</v>
      </c>
    </row>
    <row r="62" spans="1:13" ht="15" customHeight="1" x14ac:dyDescent="0.25">
      <c r="A62" s="17" t="str">
        <f>Investment_Master!A62</f>
        <v>INV-058</v>
      </c>
      <c r="B62" s="17" t="str">
        <f>Investment_Master!B62</f>
        <v>Brand Repositioning – West</v>
      </c>
      <c r="C62" s="19">
        <f>Investment_Master!J62</f>
        <v>5930000</v>
      </c>
      <c r="D62" s="20">
        <f>Investment_Master!Y62</f>
        <v>0.1</v>
      </c>
      <c r="E62" s="19">
        <f t="shared" si="3"/>
        <v>-5930000</v>
      </c>
      <c r="F62" s="19">
        <f>Investment_Master!Q62/5</f>
        <v>1360742.5313104787</v>
      </c>
      <c r="G62" s="19">
        <f>Investment_Master!Q62/5</f>
        <v>1360742.5313104787</v>
      </c>
      <c r="H62" s="19">
        <f>Investment_Master!Q62/5</f>
        <v>1360742.5313104787</v>
      </c>
      <c r="I62" s="19">
        <f>Investment_Master!Q62/5</f>
        <v>1360742.5313104787</v>
      </c>
      <c r="J62" s="19">
        <f>Investment_Master!Q62/5</f>
        <v>1360742.5313104787</v>
      </c>
      <c r="K62" s="19">
        <f t="shared" si="4"/>
        <v>-771715.21573687717</v>
      </c>
      <c r="L62" s="20">
        <f t="shared" si="5"/>
        <v>4.7636086314546855E-2</v>
      </c>
      <c r="M62" s="21">
        <f>Investment_Master!V62</f>
        <v>4.3579147881039964</v>
      </c>
    </row>
    <row r="63" spans="1:13" ht="15" customHeight="1" x14ac:dyDescent="0.25">
      <c r="A63" s="17" t="str">
        <f>Investment_Master!A63</f>
        <v>INV-059</v>
      </c>
      <c r="B63" s="17" t="str">
        <f>Investment_Master!B63</f>
        <v>Premium Product Line – North</v>
      </c>
      <c r="C63" s="19">
        <f>Investment_Master!J63</f>
        <v>24080000</v>
      </c>
      <c r="D63" s="20">
        <f>Investment_Master!Y63</f>
        <v>0.11</v>
      </c>
      <c r="E63" s="19">
        <f t="shared" si="3"/>
        <v>-24080000</v>
      </c>
      <c r="F63" s="19">
        <f>Investment_Master!Q63/5</f>
        <v>4581664.3396631163</v>
      </c>
      <c r="G63" s="19">
        <f>Investment_Master!Q63/5</f>
        <v>4581664.3396631163</v>
      </c>
      <c r="H63" s="19">
        <f>Investment_Master!Q63/5</f>
        <v>4581664.3396631163</v>
      </c>
      <c r="I63" s="19">
        <f>Investment_Master!Q63/5</f>
        <v>4581664.3396631163</v>
      </c>
      <c r="J63" s="19">
        <f>Investment_Master!Q63/5</f>
        <v>4581664.3396631163</v>
      </c>
      <c r="K63" s="19">
        <f t="shared" si="4"/>
        <v>-7146640.4311681874</v>
      </c>
      <c r="L63" s="20">
        <f t="shared" si="5"/>
        <v>-1.6400017826666113E-2</v>
      </c>
      <c r="M63" s="21">
        <f>Investment_Master!V63</f>
        <v>5.2557320254871769</v>
      </c>
    </row>
    <row r="64" spans="1:13" ht="15" customHeight="1" x14ac:dyDescent="0.25">
      <c r="A64" s="17" t="str">
        <f>Investment_Master!A64</f>
        <v>INV-060</v>
      </c>
      <c r="B64" s="17" t="str">
        <f>Investment_Master!B64</f>
        <v>Tier-2 City Expansion – East</v>
      </c>
      <c r="C64" s="19">
        <f>Investment_Master!J64</f>
        <v>41450000</v>
      </c>
      <c r="D64" s="20">
        <f>Investment_Master!Y64</f>
        <v>0.09</v>
      </c>
      <c r="E64" s="19">
        <f t="shared" si="3"/>
        <v>-41450000</v>
      </c>
      <c r="F64" s="19">
        <f>Investment_Master!Q64/5</f>
        <v>9151673.10212644</v>
      </c>
      <c r="G64" s="19">
        <f>Investment_Master!Q64/5</f>
        <v>9151673.10212644</v>
      </c>
      <c r="H64" s="19">
        <f>Investment_Master!Q64/5</f>
        <v>9151673.10212644</v>
      </c>
      <c r="I64" s="19">
        <f>Investment_Master!Q64/5</f>
        <v>9151673.10212644</v>
      </c>
      <c r="J64" s="19">
        <f>Investment_Master!Q64/5</f>
        <v>9151673.10212644</v>
      </c>
      <c r="K64" s="19">
        <f t="shared" si="4"/>
        <v>-5853183.1565319672</v>
      </c>
      <c r="L64" s="20">
        <f t="shared" si="5"/>
        <v>3.3894264033722754E-2</v>
      </c>
      <c r="M64" s="21">
        <f>Investment_Master!V64</f>
        <v>4.5292264635598567</v>
      </c>
    </row>
    <row r="65" spans="1:13" ht="15" customHeight="1" x14ac:dyDescent="0.25">
      <c r="A65" s="17" t="str">
        <f>Investment_Master!A65</f>
        <v>INV-061</v>
      </c>
      <c r="B65" s="17" t="str">
        <f>Investment_Master!B65</f>
        <v>Automated Packaging Line – Central</v>
      </c>
      <c r="C65" s="19">
        <f>Investment_Master!J65</f>
        <v>43790000</v>
      </c>
      <c r="D65" s="20">
        <f>Investment_Master!Y65</f>
        <v>0.1</v>
      </c>
      <c r="E65" s="19">
        <f t="shared" si="3"/>
        <v>-43790000</v>
      </c>
      <c r="F65" s="19">
        <f>Investment_Master!Q65/5</f>
        <v>10431510.964557908</v>
      </c>
      <c r="G65" s="19">
        <f>Investment_Master!Q65/5</f>
        <v>10431510.964557908</v>
      </c>
      <c r="H65" s="19">
        <f>Investment_Master!Q65/5</f>
        <v>10431510.964557908</v>
      </c>
      <c r="I65" s="19">
        <f>Investment_Master!Q65/5</f>
        <v>10431510.964557908</v>
      </c>
      <c r="J65" s="19">
        <f>Investment_Master!Q65/5</f>
        <v>10431510.964557908</v>
      </c>
      <c r="K65" s="19">
        <f t="shared" si="4"/>
        <v>-4246366.2506147325</v>
      </c>
      <c r="L65" s="20">
        <f t="shared" si="5"/>
        <v>6.1269329820619722E-2</v>
      </c>
      <c r="M65" s="21">
        <f>Investment_Master!V65</f>
        <v>4.1978578317926196</v>
      </c>
    </row>
    <row r="66" spans="1:13" ht="15" customHeight="1" x14ac:dyDescent="0.25">
      <c r="A66" s="17" t="str">
        <f>Investment_Master!A66</f>
        <v>INV-062</v>
      </c>
      <c r="B66" s="17" t="str">
        <f>Investment_Master!B66</f>
        <v>RPA Finance Rollout – South</v>
      </c>
      <c r="C66" s="19">
        <f>Investment_Master!J66</f>
        <v>13470000</v>
      </c>
      <c r="D66" s="20">
        <f>Investment_Master!Y66</f>
        <v>0.12</v>
      </c>
      <c r="E66" s="19">
        <f t="shared" si="3"/>
        <v>-13470000</v>
      </c>
      <c r="F66" s="19">
        <f>Investment_Master!Q66/5</f>
        <v>3144459.19242978</v>
      </c>
      <c r="G66" s="19">
        <f>Investment_Master!Q66/5</f>
        <v>3144459.19242978</v>
      </c>
      <c r="H66" s="19">
        <f>Investment_Master!Q66/5</f>
        <v>3144459.19242978</v>
      </c>
      <c r="I66" s="19">
        <f>Investment_Master!Q66/5</f>
        <v>3144459.19242978</v>
      </c>
      <c r="J66" s="19">
        <f>Investment_Master!Q66/5</f>
        <v>3144459.19242978</v>
      </c>
      <c r="K66" s="19">
        <f t="shared" si="4"/>
        <v>-2134928.3338841386</v>
      </c>
      <c r="L66" s="20">
        <f t="shared" si="5"/>
        <v>5.3855038500927321E-2</v>
      </c>
      <c r="M66" s="21">
        <f>Investment_Master!V66</f>
        <v>4.2837254916294487</v>
      </c>
    </row>
    <row r="67" spans="1:13" ht="15" customHeight="1" x14ac:dyDescent="0.25">
      <c r="A67" s="17" t="str">
        <f>Investment_Master!A67</f>
        <v>INV-063</v>
      </c>
      <c r="B67" s="17" t="str">
        <f>Investment_Master!B67</f>
        <v>Leadership Development – West</v>
      </c>
      <c r="C67" s="19">
        <f>Investment_Master!J67</f>
        <v>7950000</v>
      </c>
      <c r="D67" s="20">
        <f>Investment_Master!Y67</f>
        <v>0.1</v>
      </c>
      <c r="E67" s="19">
        <f t="shared" si="3"/>
        <v>-7950000</v>
      </c>
      <c r="F67" s="19">
        <f>Investment_Master!Q67/5</f>
        <v>1538388.7378300219</v>
      </c>
      <c r="G67" s="19">
        <f>Investment_Master!Q67/5</f>
        <v>1538388.7378300219</v>
      </c>
      <c r="H67" s="19">
        <f>Investment_Master!Q67/5</f>
        <v>1538388.7378300219</v>
      </c>
      <c r="I67" s="19">
        <f>Investment_Master!Q67/5</f>
        <v>1538388.7378300219</v>
      </c>
      <c r="J67" s="19">
        <f>Investment_Master!Q67/5</f>
        <v>1538388.7378300219</v>
      </c>
      <c r="K67" s="19">
        <f t="shared" si="4"/>
        <v>-2118296.3264269931</v>
      </c>
      <c r="L67" s="20">
        <f t="shared" si="5"/>
        <v>-1.0899602643525186E-2</v>
      </c>
      <c r="M67" s="21">
        <f>Investment_Master!V67</f>
        <v>5.1677445397929089</v>
      </c>
    </row>
    <row r="68" spans="1:13" ht="15" customHeight="1" x14ac:dyDescent="0.25">
      <c r="A68" s="17" t="str">
        <f>Investment_Master!A68</f>
        <v>INV-064</v>
      </c>
      <c r="B68" s="17" t="str">
        <f>Investment_Master!B68</f>
        <v>Plant Utility Upgrade – North</v>
      </c>
      <c r="C68" s="19">
        <f>Investment_Master!J68</f>
        <v>39160000</v>
      </c>
      <c r="D68" s="20">
        <f>Investment_Master!Y68</f>
        <v>0.1</v>
      </c>
      <c r="E68" s="19">
        <f t="shared" si="3"/>
        <v>-39160000</v>
      </c>
      <c r="F68" s="19">
        <f>Investment_Master!Q68/5</f>
        <v>8949652.0129352622</v>
      </c>
      <c r="G68" s="19">
        <f>Investment_Master!Q68/5</f>
        <v>8949652.0129352622</v>
      </c>
      <c r="H68" s="19">
        <f>Investment_Master!Q68/5</f>
        <v>8949652.0129352622</v>
      </c>
      <c r="I68" s="19">
        <f>Investment_Master!Q68/5</f>
        <v>8949652.0129352622</v>
      </c>
      <c r="J68" s="19">
        <f>Investment_Master!Q68/5</f>
        <v>8949652.0129352622</v>
      </c>
      <c r="K68" s="19">
        <f t="shared" si="4"/>
        <v>-5233777.5585553274</v>
      </c>
      <c r="L68" s="20">
        <f t="shared" si="5"/>
        <v>4.6179155509859626E-2</v>
      </c>
      <c r="M68" s="21">
        <f>Investment_Master!V68</f>
        <v>4.375589122727968</v>
      </c>
    </row>
    <row r="69" spans="1:13" ht="15" customHeight="1" x14ac:dyDescent="0.25">
      <c r="A69" s="17" t="str">
        <f>Investment_Master!A69</f>
        <v>INV-065</v>
      </c>
      <c r="B69" s="17" t="str">
        <f>Investment_Master!B69</f>
        <v>ERP Cloud Migration – East</v>
      </c>
      <c r="C69" s="19">
        <f>Investment_Master!J69</f>
        <v>35300000</v>
      </c>
      <c r="D69" s="20">
        <f>Investment_Master!Y69</f>
        <v>0.11</v>
      </c>
      <c r="E69" s="19">
        <f t="shared" ref="E69:E100" si="6">-C69</f>
        <v>-35300000</v>
      </c>
      <c r="F69" s="19">
        <f>Investment_Master!Q69/5</f>
        <v>8265847.9492182331</v>
      </c>
      <c r="G69" s="19">
        <f>Investment_Master!Q69/5</f>
        <v>8265847.9492182331</v>
      </c>
      <c r="H69" s="19">
        <f>Investment_Master!Q69/5</f>
        <v>8265847.9492182331</v>
      </c>
      <c r="I69" s="19">
        <f>Investment_Master!Q69/5</f>
        <v>8265847.9492182331</v>
      </c>
      <c r="J69" s="19">
        <f>Investment_Master!Q69/5</f>
        <v>8265847.9492182331</v>
      </c>
      <c r="K69" s="19">
        <f t="shared" ref="K69:K100" si="7">NPV(D69,F69:J69)+E69</f>
        <v>-4750277.2161403932</v>
      </c>
      <c r="L69" s="20">
        <f t="shared" ref="L69:L100" si="8">IFERROR(IRR(E69:J69),0)</f>
        <v>5.4974402441971382E-2</v>
      </c>
      <c r="M69" s="21">
        <f>Investment_Master!V69</f>
        <v>4.2705842421573461</v>
      </c>
    </row>
    <row r="70" spans="1:13" ht="15" customHeight="1" x14ac:dyDescent="0.25">
      <c r="A70" s="17" t="str">
        <f>Investment_Master!A70</f>
        <v>INV-066</v>
      </c>
      <c r="B70" s="17" t="str">
        <f>Investment_Master!B70</f>
        <v>Brand Repositioning – Central</v>
      </c>
      <c r="C70" s="19">
        <f>Investment_Master!J70</f>
        <v>14560000</v>
      </c>
      <c r="D70" s="20">
        <f>Investment_Master!Y70</f>
        <v>0.1</v>
      </c>
      <c r="E70" s="19">
        <f t="shared" si="6"/>
        <v>-14560000</v>
      </c>
      <c r="F70" s="19">
        <f>Investment_Master!Q70/5</f>
        <v>3491023.0088966163</v>
      </c>
      <c r="G70" s="19">
        <f>Investment_Master!Q70/5</f>
        <v>3491023.0088966163</v>
      </c>
      <c r="H70" s="19">
        <f>Investment_Master!Q70/5</f>
        <v>3491023.0088966163</v>
      </c>
      <c r="I70" s="19">
        <f>Investment_Master!Q70/5</f>
        <v>3491023.0088966163</v>
      </c>
      <c r="J70" s="19">
        <f>Investment_Master!Q70/5</f>
        <v>3491023.0088966163</v>
      </c>
      <c r="K70" s="19">
        <f t="shared" si="7"/>
        <v>-1326276.1661742404</v>
      </c>
      <c r="L70" s="20">
        <f t="shared" si="8"/>
        <v>6.3664812606374133E-2</v>
      </c>
      <c r="M70" s="21">
        <f>Investment_Master!V70</f>
        <v>4.1706972319846951</v>
      </c>
    </row>
    <row r="71" spans="1:13" ht="15" customHeight="1" x14ac:dyDescent="0.25">
      <c r="A71" s="17" t="str">
        <f>Investment_Master!A71</f>
        <v>INV-067</v>
      </c>
      <c r="B71" s="17" t="str">
        <f>Investment_Master!B71</f>
        <v>Premium Product Line – South</v>
      </c>
      <c r="C71" s="19">
        <f>Investment_Master!J71</f>
        <v>44730000</v>
      </c>
      <c r="D71" s="20">
        <f>Investment_Master!Y71</f>
        <v>0.1</v>
      </c>
      <c r="E71" s="19">
        <f t="shared" si="6"/>
        <v>-44730000</v>
      </c>
      <c r="F71" s="19">
        <f>Investment_Master!Q71/5</f>
        <v>9631792.2641140409</v>
      </c>
      <c r="G71" s="19">
        <f>Investment_Master!Q71/5</f>
        <v>9631792.2641140409</v>
      </c>
      <c r="H71" s="19">
        <f>Investment_Master!Q71/5</f>
        <v>9631792.2641140409</v>
      </c>
      <c r="I71" s="19">
        <f>Investment_Master!Q71/5</f>
        <v>9631792.2641140409</v>
      </c>
      <c r="J71" s="19">
        <f>Investment_Master!Q71/5</f>
        <v>9631792.2641140409</v>
      </c>
      <c r="K71" s="19">
        <f t="shared" si="7"/>
        <v>-8217929.3195058629</v>
      </c>
      <c r="L71" s="20">
        <f t="shared" si="8"/>
        <v>2.5137100930855416E-2</v>
      </c>
      <c r="M71" s="21">
        <f>Investment_Master!V71</f>
        <v>4.6439955071138979</v>
      </c>
    </row>
    <row r="72" spans="1:13" ht="15" customHeight="1" x14ac:dyDescent="0.25">
      <c r="A72" s="17" t="str">
        <f>Investment_Master!A72</f>
        <v>INV-068</v>
      </c>
      <c r="B72" s="17" t="str">
        <f>Investment_Master!B72</f>
        <v>Tier-2 City Expansion – West</v>
      </c>
      <c r="C72" s="19">
        <f>Investment_Master!J72</f>
        <v>40500000</v>
      </c>
      <c r="D72" s="20">
        <f>Investment_Master!Y72</f>
        <v>0.09</v>
      </c>
      <c r="E72" s="19">
        <f t="shared" si="6"/>
        <v>-40500000</v>
      </c>
      <c r="F72" s="19">
        <f>Investment_Master!Q72/5</f>
        <v>9621651.4649129938</v>
      </c>
      <c r="G72" s="19">
        <f>Investment_Master!Q72/5</f>
        <v>9621651.4649129938</v>
      </c>
      <c r="H72" s="19">
        <f>Investment_Master!Q72/5</f>
        <v>9621651.4649129938</v>
      </c>
      <c r="I72" s="19">
        <f>Investment_Master!Q72/5</f>
        <v>9621651.4649129938</v>
      </c>
      <c r="J72" s="19">
        <f>Investment_Master!Q72/5</f>
        <v>9621651.4649129938</v>
      </c>
      <c r="K72" s="19">
        <f t="shared" si="7"/>
        <v>-3075131.2239712849</v>
      </c>
      <c r="L72" s="20">
        <f t="shared" si="8"/>
        <v>6.0271306582937889E-2</v>
      </c>
      <c r="M72" s="21">
        <f>Investment_Master!V72</f>
        <v>4.2092566071105582</v>
      </c>
    </row>
    <row r="73" spans="1:13" ht="15" customHeight="1" x14ac:dyDescent="0.25">
      <c r="A73" s="17" t="str">
        <f>Investment_Master!A73</f>
        <v>INV-069</v>
      </c>
      <c r="B73" s="17" t="str">
        <f>Investment_Master!B73</f>
        <v>Automated Packaging Line – North</v>
      </c>
      <c r="C73" s="19">
        <f>Investment_Master!J73</f>
        <v>23270000</v>
      </c>
      <c r="D73" s="20">
        <f>Investment_Master!Y73</f>
        <v>0.1</v>
      </c>
      <c r="E73" s="19">
        <f t="shared" si="6"/>
        <v>-23270000</v>
      </c>
      <c r="F73" s="19">
        <f>Investment_Master!Q73/5</f>
        <v>5806326.855148524</v>
      </c>
      <c r="G73" s="19">
        <f>Investment_Master!Q73/5</f>
        <v>5806326.855148524</v>
      </c>
      <c r="H73" s="19">
        <f>Investment_Master!Q73/5</f>
        <v>5806326.855148524</v>
      </c>
      <c r="I73" s="19">
        <f>Investment_Master!Q73/5</f>
        <v>5806326.855148524</v>
      </c>
      <c r="J73" s="19">
        <f>Investment_Master!Q73/5</f>
        <v>5806326.855148524</v>
      </c>
      <c r="K73" s="19">
        <f t="shared" si="7"/>
        <v>-1259452.9786420166</v>
      </c>
      <c r="L73" s="20">
        <f t="shared" si="8"/>
        <v>7.8580058271160214E-2</v>
      </c>
      <c r="M73" s="21">
        <f>Investment_Master!V73</f>
        <v>4.0076972207250572</v>
      </c>
    </row>
    <row r="74" spans="1:13" ht="15" customHeight="1" x14ac:dyDescent="0.25">
      <c r="A74" s="17" t="str">
        <f>Investment_Master!A74</f>
        <v>INV-070</v>
      </c>
      <c r="B74" s="17" t="str">
        <f>Investment_Master!B74</f>
        <v>RPA Finance Rollout – East</v>
      </c>
      <c r="C74" s="19">
        <f>Investment_Master!J74</f>
        <v>30070000</v>
      </c>
      <c r="D74" s="20">
        <f>Investment_Master!Y74</f>
        <v>0.1</v>
      </c>
      <c r="E74" s="19">
        <f t="shared" si="6"/>
        <v>-30070000</v>
      </c>
      <c r="F74" s="19">
        <f>Investment_Master!Q74/5</f>
        <v>6963083.0409733336</v>
      </c>
      <c r="G74" s="19">
        <f>Investment_Master!Q74/5</f>
        <v>6963083.0409733336</v>
      </c>
      <c r="H74" s="19">
        <f>Investment_Master!Q74/5</f>
        <v>6963083.0409733336</v>
      </c>
      <c r="I74" s="19">
        <f>Investment_Master!Q74/5</f>
        <v>6963083.0409733336</v>
      </c>
      <c r="J74" s="19">
        <f>Investment_Master!Q74/5</f>
        <v>6963083.0409733336</v>
      </c>
      <c r="K74" s="19">
        <f t="shared" si="7"/>
        <v>-3674436.9339859486</v>
      </c>
      <c r="L74" s="20">
        <f t="shared" si="8"/>
        <v>5.0919904333440513E-2</v>
      </c>
      <c r="M74" s="21">
        <f>Investment_Master!V74</f>
        <v>4.3184893563752</v>
      </c>
    </row>
    <row r="75" spans="1:13" ht="15" customHeight="1" x14ac:dyDescent="0.25">
      <c r="A75" s="17" t="str">
        <f>Investment_Master!A75</f>
        <v>INV-071</v>
      </c>
      <c r="B75" s="17" t="str">
        <f>Investment_Master!B75</f>
        <v>Leadership Development – Central</v>
      </c>
      <c r="C75" s="19">
        <f>Investment_Master!J75</f>
        <v>9280000</v>
      </c>
      <c r="D75" s="20">
        <f>Investment_Master!Y75</f>
        <v>0.11</v>
      </c>
      <c r="E75" s="19">
        <f t="shared" si="6"/>
        <v>-9280000</v>
      </c>
      <c r="F75" s="19">
        <f>Investment_Master!Q75/5</f>
        <v>1828630.2253148998</v>
      </c>
      <c r="G75" s="19">
        <f>Investment_Master!Q75/5</f>
        <v>1828630.2253148998</v>
      </c>
      <c r="H75" s="19">
        <f>Investment_Master!Q75/5</f>
        <v>1828630.2253148998</v>
      </c>
      <c r="I75" s="19">
        <f>Investment_Master!Q75/5</f>
        <v>1828630.2253148998</v>
      </c>
      <c r="J75" s="19">
        <f>Investment_Master!Q75/5</f>
        <v>1828630.2253148998</v>
      </c>
      <c r="K75" s="19">
        <f t="shared" si="7"/>
        <v>-2521571.0038749939</v>
      </c>
      <c r="L75" s="20">
        <f t="shared" si="8"/>
        <v>-4.931803684160907E-3</v>
      </c>
      <c r="M75" s="21">
        <f>Investment_Master!V75</f>
        <v>5.0748368213163131</v>
      </c>
    </row>
    <row r="76" spans="1:13" ht="15" customHeight="1" x14ac:dyDescent="0.25">
      <c r="A76" s="17" t="str">
        <f>Investment_Master!A76</f>
        <v>INV-072</v>
      </c>
      <c r="B76" s="17" t="str">
        <f>Investment_Master!B76</f>
        <v>Plant Utility Upgrade – South</v>
      </c>
      <c r="C76" s="19">
        <f>Investment_Master!J76</f>
        <v>18650000</v>
      </c>
      <c r="D76" s="20">
        <f>Investment_Master!Y76</f>
        <v>0.11</v>
      </c>
      <c r="E76" s="19">
        <f t="shared" si="6"/>
        <v>-18650000</v>
      </c>
      <c r="F76" s="19">
        <f>Investment_Master!Q76/5</f>
        <v>3833749.0569416941</v>
      </c>
      <c r="G76" s="19">
        <f>Investment_Master!Q76/5</f>
        <v>3833749.0569416941</v>
      </c>
      <c r="H76" s="19">
        <f>Investment_Master!Q76/5</f>
        <v>3833749.0569416941</v>
      </c>
      <c r="I76" s="19">
        <f>Investment_Master!Q76/5</f>
        <v>3833749.0569416941</v>
      </c>
      <c r="J76" s="19">
        <f>Investment_Master!Q76/5</f>
        <v>3833749.0569416941</v>
      </c>
      <c r="K76" s="19">
        <f t="shared" si="7"/>
        <v>-4480858.2940327451</v>
      </c>
      <c r="L76" s="20">
        <f t="shared" si="8"/>
        <v>9.215234477823131E-3</v>
      </c>
      <c r="M76" s="21">
        <f>Investment_Master!V76</f>
        <v>4.8646898174597037</v>
      </c>
    </row>
    <row r="77" spans="1:13" ht="15" customHeight="1" x14ac:dyDescent="0.25">
      <c r="A77" s="17" t="str">
        <f>Investment_Master!A77</f>
        <v>INV-073</v>
      </c>
      <c r="B77" s="17" t="str">
        <f>Investment_Master!B77</f>
        <v>ERP Cloud Migration – West</v>
      </c>
      <c r="C77" s="19">
        <f>Investment_Master!J77</f>
        <v>26390000</v>
      </c>
      <c r="D77" s="20">
        <f>Investment_Master!Y77</f>
        <v>0.1</v>
      </c>
      <c r="E77" s="19">
        <f t="shared" si="6"/>
        <v>-26390000</v>
      </c>
      <c r="F77" s="19">
        <f>Investment_Master!Q77/5</f>
        <v>6294282.1848829137</v>
      </c>
      <c r="G77" s="19">
        <f>Investment_Master!Q77/5</f>
        <v>6294282.1848829137</v>
      </c>
      <c r="H77" s="19">
        <f>Investment_Master!Q77/5</f>
        <v>6294282.1848829137</v>
      </c>
      <c r="I77" s="19">
        <f>Investment_Master!Q77/5</f>
        <v>6294282.1848829137</v>
      </c>
      <c r="J77" s="19">
        <f>Investment_Master!Q77/5</f>
        <v>6294282.1848829137</v>
      </c>
      <c r="K77" s="19">
        <f t="shared" si="7"/>
        <v>-2529718.3706225529</v>
      </c>
      <c r="L77" s="20">
        <f t="shared" si="8"/>
        <v>6.1722855352440931E-2</v>
      </c>
      <c r="M77" s="21">
        <f>Investment_Master!V77</f>
        <v>4.1926941349056959</v>
      </c>
    </row>
    <row r="78" spans="1:13" ht="15" customHeight="1" x14ac:dyDescent="0.25">
      <c r="A78" s="17" t="str">
        <f>Investment_Master!A78</f>
        <v>INV-074</v>
      </c>
      <c r="B78" s="17" t="str">
        <f>Investment_Master!B78</f>
        <v>Brand Repositioning – North</v>
      </c>
      <c r="C78" s="19">
        <f>Investment_Master!J78</f>
        <v>16170000</v>
      </c>
      <c r="D78" s="20">
        <f>Investment_Master!Y78</f>
        <v>0.11</v>
      </c>
      <c r="E78" s="19">
        <f t="shared" si="6"/>
        <v>-16170000</v>
      </c>
      <c r="F78" s="19">
        <f>Investment_Master!Q78/5</f>
        <v>3287922.8093151255</v>
      </c>
      <c r="G78" s="19">
        <f>Investment_Master!Q78/5</f>
        <v>3287922.8093151255</v>
      </c>
      <c r="H78" s="19">
        <f>Investment_Master!Q78/5</f>
        <v>3287922.8093151255</v>
      </c>
      <c r="I78" s="19">
        <f>Investment_Master!Q78/5</f>
        <v>3287922.8093151255</v>
      </c>
      <c r="J78" s="19">
        <f>Investment_Master!Q78/5</f>
        <v>3287922.8093151255</v>
      </c>
      <c r="K78" s="19">
        <f t="shared" si="7"/>
        <v>-4018175.8947905786</v>
      </c>
      <c r="L78" s="20">
        <f t="shared" si="8"/>
        <v>5.5375204538077316E-3</v>
      </c>
      <c r="M78" s="21">
        <f>Investment_Master!V78</f>
        <v>4.9179986690040973</v>
      </c>
    </row>
    <row r="79" spans="1:13" ht="15" customHeight="1" x14ac:dyDescent="0.25">
      <c r="A79" s="17" t="str">
        <f>Investment_Master!A79</f>
        <v>INV-075</v>
      </c>
      <c r="B79" s="17" t="str">
        <f>Investment_Master!B79</f>
        <v>Premium Product Line – East</v>
      </c>
      <c r="C79" s="19">
        <f>Investment_Master!J79</f>
        <v>40210000</v>
      </c>
      <c r="D79" s="20">
        <f>Investment_Master!Y79</f>
        <v>0.11</v>
      </c>
      <c r="E79" s="19">
        <f t="shared" si="6"/>
        <v>-40210000</v>
      </c>
      <c r="F79" s="19">
        <f>Investment_Master!Q79/5</f>
        <v>8560476.7900720146</v>
      </c>
      <c r="G79" s="19">
        <f>Investment_Master!Q79/5</f>
        <v>8560476.7900720146</v>
      </c>
      <c r="H79" s="19">
        <f>Investment_Master!Q79/5</f>
        <v>8560476.7900720146</v>
      </c>
      <c r="I79" s="19">
        <f>Investment_Master!Q79/5</f>
        <v>8560476.7900720146</v>
      </c>
      <c r="J79" s="19">
        <f>Investment_Master!Q79/5</f>
        <v>8560476.7900720146</v>
      </c>
      <c r="K79" s="19">
        <f t="shared" si="7"/>
        <v>-8571359.3619153798</v>
      </c>
      <c r="L79" s="20">
        <f t="shared" si="8"/>
        <v>2.11941008964045E-2</v>
      </c>
      <c r="M79" s="21">
        <f>Investment_Master!V79</f>
        <v>4.6971682753270727</v>
      </c>
    </row>
    <row r="80" spans="1:13" ht="15" customHeight="1" x14ac:dyDescent="0.25">
      <c r="A80" s="17" t="str">
        <f>Investment_Master!A80</f>
        <v>INV-076</v>
      </c>
      <c r="B80" s="17" t="str">
        <f>Investment_Master!B80</f>
        <v>Tier-2 City Expansion – Central</v>
      </c>
      <c r="C80" s="19">
        <f>Investment_Master!J80</f>
        <v>44220000</v>
      </c>
      <c r="D80" s="20">
        <f>Investment_Master!Y80</f>
        <v>0.09</v>
      </c>
      <c r="E80" s="19">
        <f t="shared" si="6"/>
        <v>-44220000</v>
      </c>
      <c r="F80" s="19">
        <f>Investment_Master!Q80/5</f>
        <v>9528212.0818545744</v>
      </c>
      <c r="G80" s="19">
        <f>Investment_Master!Q80/5</f>
        <v>9528212.0818545744</v>
      </c>
      <c r="H80" s="19">
        <f>Investment_Master!Q80/5</f>
        <v>9528212.0818545744</v>
      </c>
      <c r="I80" s="19">
        <f>Investment_Master!Q80/5</f>
        <v>9528212.0818545744</v>
      </c>
      <c r="J80" s="19">
        <f>Investment_Master!Q80/5</f>
        <v>9528212.0818545744</v>
      </c>
      <c r="K80" s="19">
        <f t="shared" si="7"/>
        <v>-7158577.8383312672</v>
      </c>
      <c r="L80" s="20">
        <f t="shared" si="8"/>
        <v>2.5364734700997094E-2</v>
      </c>
      <c r="M80" s="21">
        <f>Investment_Master!V80</f>
        <v>4.6409546324238624</v>
      </c>
    </row>
    <row r="81" spans="1:13" ht="15" customHeight="1" x14ac:dyDescent="0.25">
      <c r="A81" s="17" t="str">
        <f>Investment_Master!A81</f>
        <v>INV-077</v>
      </c>
      <c r="B81" s="17" t="str">
        <f>Investment_Master!B81</f>
        <v>Automated Packaging Line – South</v>
      </c>
      <c r="C81" s="19">
        <f>Investment_Master!J81</f>
        <v>41420000</v>
      </c>
      <c r="D81" s="20">
        <f>Investment_Master!Y81</f>
        <v>0.11</v>
      </c>
      <c r="E81" s="19">
        <f t="shared" si="6"/>
        <v>-41420000</v>
      </c>
      <c r="F81" s="19">
        <f>Investment_Master!Q81/5</f>
        <v>8373076.3074345784</v>
      </c>
      <c r="G81" s="19">
        <f>Investment_Master!Q81/5</f>
        <v>8373076.3074345784</v>
      </c>
      <c r="H81" s="19">
        <f>Investment_Master!Q81/5</f>
        <v>8373076.3074345784</v>
      </c>
      <c r="I81" s="19">
        <f>Investment_Master!Q81/5</f>
        <v>8373076.3074345784</v>
      </c>
      <c r="J81" s="19">
        <f>Investment_Master!Q81/5</f>
        <v>8373076.3074345784</v>
      </c>
      <c r="K81" s="19">
        <f t="shared" si="7"/>
        <v>-10473972.246801153</v>
      </c>
      <c r="L81" s="20">
        <f t="shared" si="8"/>
        <v>3.5757623824421714E-3</v>
      </c>
      <c r="M81" s="21">
        <f>Investment_Master!V81</f>
        <v>4.9468078970237697</v>
      </c>
    </row>
    <row r="82" spans="1:13" ht="15" customHeight="1" x14ac:dyDescent="0.25">
      <c r="A82" s="17" t="str">
        <f>Investment_Master!A82</f>
        <v>INV-078</v>
      </c>
      <c r="B82" s="17" t="str">
        <f>Investment_Master!B82</f>
        <v>RPA Finance Rollout – West</v>
      </c>
      <c r="C82" s="19">
        <f>Investment_Master!J82</f>
        <v>27210000</v>
      </c>
      <c r="D82" s="20">
        <f>Investment_Master!Y82</f>
        <v>0.11</v>
      </c>
      <c r="E82" s="19">
        <f t="shared" si="6"/>
        <v>-27210000</v>
      </c>
      <c r="F82" s="19">
        <f>Investment_Master!Q82/5</f>
        <v>6695952.7706676545</v>
      </c>
      <c r="G82" s="19">
        <f>Investment_Master!Q82/5</f>
        <v>6695952.7706676545</v>
      </c>
      <c r="H82" s="19">
        <f>Investment_Master!Q82/5</f>
        <v>6695952.7706676545</v>
      </c>
      <c r="I82" s="19">
        <f>Investment_Master!Q82/5</f>
        <v>6695952.7706676545</v>
      </c>
      <c r="J82" s="19">
        <f>Investment_Master!Q82/5</f>
        <v>6695952.7706676545</v>
      </c>
      <c r="K82" s="19">
        <f t="shared" si="7"/>
        <v>-2462448.1245677471</v>
      </c>
      <c r="L82" s="20">
        <f t="shared" si="8"/>
        <v>7.3352956459350027E-2</v>
      </c>
      <c r="M82" s="21">
        <f>Investment_Master!V82</f>
        <v>4.0636487340825269</v>
      </c>
    </row>
    <row r="83" spans="1:13" ht="15" customHeight="1" x14ac:dyDescent="0.25">
      <c r="A83" s="17" t="str">
        <f>Investment_Master!A83</f>
        <v>INV-079</v>
      </c>
      <c r="B83" s="17" t="str">
        <f>Investment_Master!B83</f>
        <v>Leadership Development – North</v>
      </c>
      <c r="C83" s="19">
        <f>Investment_Master!J83</f>
        <v>11710000</v>
      </c>
      <c r="D83" s="20">
        <f>Investment_Master!Y83</f>
        <v>0.11</v>
      </c>
      <c r="E83" s="19">
        <f t="shared" si="6"/>
        <v>-11710000</v>
      </c>
      <c r="F83" s="19">
        <f>Investment_Master!Q83/5</f>
        <v>2326625.090202102</v>
      </c>
      <c r="G83" s="19">
        <f>Investment_Master!Q83/5</f>
        <v>2326625.090202102</v>
      </c>
      <c r="H83" s="19">
        <f>Investment_Master!Q83/5</f>
        <v>2326625.090202102</v>
      </c>
      <c r="I83" s="19">
        <f>Investment_Master!Q83/5</f>
        <v>2326625.090202102</v>
      </c>
      <c r="J83" s="19">
        <f>Investment_Master!Q83/5</f>
        <v>2326625.090202102</v>
      </c>
      <c r="K83" s="19">
        <f t="shared" si="7"/>
        <v>-3111033.267933635</v>
      </c>
      <c r="L83" s="20">
        <f t="shared" si="8"/>
        <v>-2.1914930273437827E-3</v>
      </c>
      <c r="M83" s="21">
        <f>Investment_Master!V83</f>
        <v>5.033041227533058</v>
      </c>
    </row>
    <row r="84" spans="1:13" ht="15" customHeight="1" x14ac:dyDescent="0.25">
      <c r="A84" s="17" t="str">
        <f>Investment_Master!A84</f>
        <v>INV-080</v>
      </c>
      <c r="B84" s="17" t="str">
        <f>Investment_Master!B84</f>
        <v>Plant Utility Upgrade – East</v>
      </c>
      <c r="C84" s="19">
        <f>Investment_Master!J84</f>
        <v>51790000</v>
      </c>
      <c r="D84" s="20">
        <f>Investment_Master!Y84</f>
        <v>0.12</v>
      </c>
      <c r="E84" s="19">
        <f t="shared" si="6"/>
        <v>-51790000</v>
      </c>
      <c r="F84" s="19">
        <f>Investment_Master!Q84/5</f>
        <v>11428336.947287001</v>
      </c>
      <c r="G84" s="19">
        <f>Investment_Master!Q84/5</f>
        <v>11428336.947287001</v>
      </c>
      <c r="H84" s="19">
        <f>Investment_Master!Q84/5</f>
        <v>11428336.947287001</v>
      </c>
      <c r="I84" s="19">
        <f>Investment_Master!Q84/5</f>
        <v>11428336.947287001</v>
      </c>
      <c r="J84" s="19">
        <f>Investment_Master!Q84/5</f>
        <v>11428336.947287001</v>
      </c>
      <c r="K84" s="19">
        <f t="shared" si="7"/>
        <v>-10593402.940039672</v>
      </c>
      <c r="L84" s="20">
        <f t="shared" si="8"/>
        <v>3.3700460718595782E-2</v>
      </c>
      <c r="M84" s="21">
        <f>Investment_Master!V84</f>
        <v>4.531717977767058</v>
      </c>
    </row>
    <row r="85" spans="1:13" ht="15" customHeight="1" x14ac:dyDescent="0.25">
      <c r="A85" s="17" t="str">
        <f>Investment_Master!A85</f>
        <v>INV-081</v>
      </c>
      <c r="B85" s="17" t="str">
        <f>Investment_Master!B85</f>
        <v>ERP Cloud Migration – Central</v>
      </c>
      <c r="C85" s="19">
        <f>Investment_Master!J85</f>
        <v>20860000</v>
      </c>
      <c r="D85" s="20">
        <f>Investment_Master!Y85</f>
        <v>0.1</v>
      </c>
      <c r="E85" s="19">
        <f t="shared" si="6"/>
        <v>-20860000</v>
      </c>
      <c r="F85" s="19">
        <f>Investment_Master!Q85/5</f>
        <v>4980654.6902899994</v>
      </c>
      <c r="G85" s="19">
        <f>Investment_Master!Q85/5</f>
        <v>4980654.6902899994</v>
      </c>
      <c r="H85" s="19">
        <f>Investment_Master!Q85/5</f>
        <v>4980654.6902899994</v>
      </c>
      <c r="I85" s="19">
        <f>Investment_Master!Q85/5</f>
        <v>4980654.6902899994</v>
      </c>
      <c r="J85" s="19">
        <f>Investment_Master!Q85/5</f>
        <v>4980654.6902899994</v>
      </c>
      <c r="K85" s="19">
        <f t="shared" si="7"/>
        <v>-1979400.0970565416</v>
      </c>
      <c r="L85" s="20">
        <f t="shared" si="8"/>
        <v>6.211790618387325E-2</v>
      </c>
      <c r="M85" s="21">
        <f>Investment_Master!V85</f>
        <v>4.1882044223357759</v>
      </c>
    </row>
    <row r="86" spans="1:13" ht="15" customHeight="1" x14ac:dyDescent="0.25">
      <c r="A86" s="17" t="str">
        <f>Investment_Master!A86</f>
        <v>INV-082</v>
      </c>
      <c r="B86" s="17" t="str">
        <f>Investment_Master!B86</f>
        <v>Brand Repositioning – South</v>
      </c>
      <c r="C86" s="19">
        <f>Investment_Master!J86</f>
        <v>17620000</v>
      </c>
      <c r="D86" s="20">
        <f>Investment_Master!Y86</f>
        <v>0.1</v>
      </c>
      <c r="E86" s="19">
        <f t="shared" si="6"/>
        <v>-17620000</v>
      </c>
      <c r="F86" s="19">
        <f>Investment_Master!Q86/5</f>
        <v>4276922.099771766</v>
      </c>
      <c r="G86" s="19">
        <f>Investment_Master!Q86/5</f>
        <v>4276922.099771766</v>
      </c>
      <c r="H86" s="19">
        <f>Investment_Master!Q86/5</f>
        <v>4276922.099771766</v>
      </c>
      <c r="I86" s="19">
        <f>Investment_Master!Q86/5</f>
        <v>4276922.099771766</v>
      </c>
      <c r="J86" s="19">
        <f>Investment_Master!Q86/5</f>
        <v>4276922.099771766</v>
      </c>
      <c r="K86" s="19">
        <f t="shared" si="7"/>
        <v>-1407100.290394593</v>
      </c>
      <c r="L86" s="20">
        <f t="shared" si="8"/>
        <v>6.8222547121640442E-2</v>
      </c>
      <c r="M86" s="21">
        <f>Investment_Master!V86</f>
        <v>4.1197851139117718</v>
      </c>
    </row>
    <row r="87" spans="1:13" ht="15" customHeight="1" x14ac:dyDescent="0.25">
      <c r="A87" s="17" t="str">
        <f>Investment_Master!A87</f>
        <v>INV-083</v>
      </c>
      <c r="B87" s="17" t="str">
        <f>Investment_Master!B87</f>
        <v>Premium Product Line – West</v>
      </c>
      <c r="C87" s="19">
        <f>Investment_Master!J87</f>
        <v>41940000</v>
      </c>
      <c r="D87" s="20">
        <f>Investment_Master!Y87</f>
        <v>0.12</v>
      </c>
      <c r="E87" s="19">
        <f t="shared" si="6"/>
        <v>-41940000</v>
      </c>
      <c r="F87" s="19">
        <f>Investment_Master!Q87/5</f>
        <v>8801404.090143878</v>
      </c>
      <c r="G87" s="19">
        <f>Investment_Master!Q87/5</f>
        <v>8801404.090143878</v>
      </c>
      <c r="H87" s="19">
        <f>Investment_Master!Q87/5</f>
        <v>8801404.090143878</v>
      </c>
      <c r="I87" s="19">
        <f>Investment_Master!Q87/5</f>
        <v>8801404.090143878</v>
      </c>
      <c r="J87" s="19">
        <f>Investment_Master!Q87/5</f>
        <v>8801404.090143878</v>
      </c>
      <c r="K87" s="19">
        <f t="shared" si="7"/>
        <v>-10212907.988627363</v>
      </c>
      <c r="L87" s="20">
        <f t="shared" si="8"/>
        <v>1.6253707022439112E-2</v>
      </c>
      <c r="M87" s="21">
        <f>Investment_Master!V87</f>
        <v>4.765148784267943</v>
      </c>
    </row>
    <row r="88" spans="1:13" ht="15" customHeight="1" x14ac:dyDescent="0.25">
      <c r="A88" s="17" t="str">
        <f>Investment_Master!A88</f>
        <v>INV-084</v>
      </c>
      <c r="B88" s="17" t="str">
        <f>Investment_Master!B88</f>
        <v>Tier-2 City Expansion – North</v>
      </c>
      <c r="C88" s="19">
        <f>Investment_Master!J88</f>
        <v>37500000</v>
      </c>
      <c r="D88" s="20">
        <f>Investment_Master!Y88</f>
        <v>0.09</v>
      </c>
      <c r="E88" s="19">
        <f t="shared" si="6"/>
        <v>-37500000</v>
      </c>
      <c r="F88" s="19">
        <f>Investment_Master!Q88/5</f>
        <v>8939007.9780300632</v>
      </c>
      <c r="G88" s="19">
        <f>Investment_Master!Q88/5</f>
        <v>8939007.9780300632</v>
      </c>
      <c r="H88" s="19">
        <f>Investment_Master!Q88/5</f>
        <v>8939007.9780300632</v>
      </c>
      <c r="I88" s="19">
        <f>Investment_Master!Q88/5</f>
        <v>8939007.9780300632</v>
      </c>
      <c r="J88" s="19">
        <f>Investment_Master!Q88/5</f>
        <v>8939007.9780300632</v>
      </c>
      <c r="K88" s="19">
        <f t="shared" si="7"/>
        <v>-2730376.3251442984</v>
      </c>
      <c r="L88" s="20">
        <f t="shared" si="8"/>
        <v>6.1511756968570364E-2</v>
      </c>
      <c r="M88" s="21">
        <f>Investment_Master!V88</f>
        <v>4.1950963789456281</v>
      </c>
    </row>
    <row r="89" spans="1:13" ht="15" customHeight="1" x14ac:dyDescent="0.25">
      <c r="A89" s="17" t="str">
        <f>Investment_Master!A89</f>
        <v>INV-085</v>
      </c>
      <c r="B89" s="17" t="str">
        <f>Investment_Master!B89</f>
        <v>Automated Packaging Line – East</v>
      </c>
      <c r="C89" s="19">
        <f>Investment_Master!J89</f>
        <v>41180000</v>
      </c>
      <c r="D89" s="20">
        <f>Investment_Master!Y89</f>
        <v>0.11</v>
      </c>
      <c r="E89" s="19">
        <f t="shared" si="6"/>
        <v>-41180000</v>
      </c>
      <c r="F89" s="19">
        <f>Investment_Master!Q89/5</f>
        <v>9771243.4267799892</v>
      </c>
      <c r="G89" s="19">
        <f>Investment_Master!Q89/5</f>
        <v>9771243.4267799892</v>
      </c>
      <c r="H89" s="19">
        <f>Investment_Master!Q89/5</f>
        <v>9771243.4267799892</v>
      </c>
      <c r="I89" s="19">
        <f>Investment_Master!Q89/5</f>
        <v>9771243.4267799892</v>
      </c>
      <c r="J89" s="19">
        <f>Investment_Master!Q89/5</f>
        <v>9771243.4267799892</v>
      </c>
      <c r="K89" s="19">
        <f t="shared" si="7"/>
        <v>-5066490.5602369085</v>
      </c>
      <c r="L89" s="20">
        <f t="shared" si="8"/>
        <v>5.9821738029205207E-2</v>
      </c>
      <c r="M89" s="21">
        <f>Investment_Master!V89</f>
        <v>4.2144073380812737</v>
      </c>
    </row>
    <row r="90" spans="1:13" ht="15" customHeight="1" x14ac:dyDescent="0.25">
      <c r="A90" s="17" t="str">
        <f>Investment_Master!A90</f>
        <v>INV-086</v>
      </c>
      <c r="B90" s="17" t="str">
        <f>Investment_Master!B90</f>
        <v>RPA Finance Rollout – Central</v>
      </c>
      <c r="C90" s="19">
        <f>Investment_Master!J90</f>
        <v>29800000</v>
      </c>
      <c r="D90" s="20">
        <f>Investment_Master!Y90</f>
        <v>0.11</v>
      </c>
      <c r="E90" s="19">
        <f t="shared" si="6"/>
        <v>-29800000</v>
      </c>
      <c r="F90" s="19">
        <f>Investment_Master!Q90/5</f>
        <v>7259387.5478534307</v>
      </c>
      <c r="G90" s="19">
        <f>Investment_Master!Q90/5</f>
        <v>7259387.5478534307</v>
      </c>
      <c r="H90" s="19">
        <f>Investment_Master!Q90/5</f>
        <v>7259387.5478534307</v>
      </c>
      <c r="I90" s="19">
        <f>Investment_Master!Q90/5</f>
        <v>7259387.5478534307</v>
      </c>
      <c r="J90" s="19">
        <f>Investment_Master!Q90/5</f>
        <v>7259387.5478534307</v>
      </c>
      <c r="K90" s="19">
        <f t="shared" si="7"/>
        <v>-2970051.2119268477</v>
      </c>
      <c r="L90" s="20">
        <f t="shared" si="8"/>
        <v>6.9560268917493229E-2</v>
      </c>
      <c r="M90" s="21">
        <f>Investment_Master!V90</f>
        <v>4.105029495058675</v>
      </c>
    </row>
    <row r="91" spans="1:13" ht="15" customHeight="1" x14ac:dyDescent="0.25">
      <c r="A91" s="17" t="str">
        <f>Investment_Master!A91</f>
        <v>INV-087</v>
      </c>
      <c r="B91" s="17" t="str">
        <f>Investment_Master!B91</f>
        <v>Leadership Development – South</v>
      </c>
      <c r="C91" s="19">
        <f>Investment_Master!J91</f>
        <v>8450000</v>
      </c>
      <c r="D91" s="20">
        <f>Investment_Master!Y91</f>
        <v>0.1</v>
      </c>
      <c r="E91" s="19">
        <f t="shared" si="6"/>
        <v>-8450000</v>
      </c>
      <c r="F91" s="19">
        <f>Investment_Master!Q91/5</f>
        <v>1670733.6587924201</v>
      </c>
      <c r="G91" s="19">
        <f>Investment_Master!Q91/5</f>
        <v>1670733.6587924201</v>
      </c>
      <c r="H91" s="19">
        <f>Investment_Master!Q91/5</f>
        <v>1670733.6587924201</v>
      </c>
      <c r="I91" s="19">
        <f>Investment_Master!Q91/5</f>
        <v>1670733.6587924201</v>
      </c>
      <c r="J91" s="19">
        <f>Investment_Master!Q91/5</f>
        <v>1670733.6587924201</v>
      </c>
      <c r="K91" s="19">
        <f t="shared" si="7"/>
        <v>-2116604.9510443266</v>
      </c>
      <c r="L91" s="20">
        <f t="shared" si="8"/>
        <v>-3.8097619075857514E-3</v>
      </c>
      <c r="M91" s="21">
        <f>Investment_Master!V91</f>
        <v>5.0576583260479273</v>
      </c>
    </row>
    <row r="92" spans="1:13" ht="15" customHeight="1" x14ac:dyDescent="0.25">
      <c r="A92" s="17" t="str">
        <f>Investment_Master!A92</f>
        <v>INV-088</v>
      </c>
      <c r="B92" s="17" t="str">
        <f>Investment_Master!B92</f>
        <v>Plant Utility Upgrade – West</v>
      </c>
      <c r="C92" s="19">
        <f>Investment_Master!J92</f>
        <v>53360000</v>
      </c>
      <c r="D92" s="20">
        <f>Investment_Master!Y92</f>
        <v>0.11</v>
      </c>
      <c r="E92" s="19">
        <f t="shared" si="6"/>
        <v>-53360000</v>
      </c>
      <c r="F92" s="19">
        <f>Investment_Master!Q92/5</f>
        <v>13547090.949083453</v>
      </c>
      <c r="G92" s="19">
        <f>Investment_Master!Q92/5</f>
        <v>13547090.949083453</v>
      </c>
      <c r="H92" s="19">
        <f>Investment_Master!Q92/5</f>
        <v>13547090.949083453</v>
      </c>
      <c r="I92" s="19">
        <f>Investment_Master!Q92/5</f>
        <v>13547090.949083453</v>
      </c>
      <c r="J92" s="19">
        <f>Investment_Master!Q92/5</f>
        <v>13547090.949083453</v>
      </c>
      <c r="K92" s="19">
        <f t="shared" si="7"/>
        <v>-3291346.9634564146</v>
      </c>
      <c r="L92" s="20">
        <f t="shared" si="8"/>
        <v>8.5173676155638978E-2</v>
      </c>
      <c r="M92" s="21">
        <f>Investment_Master!V92</f>
        <v>3.9388530128389037</v>
      </c>
    </row>
    <row r="93" spans="1:13" ht="15" customHeight="1" x14ac:dyDescent="0.25">
      <c r="A93" s="17" t="str">
        <f>Investment_Master!A93</f>
        <v>INV-089</v>
      </c>
      <c r="B93" s="17" t="str">
        <f>Investment_Master!B93</f>
        <v>ERP Cloud Migration – North</v>
      </c>
      <c r="C93" s="19">
        <f>Investment_Master!J93</f>
        <v>25620000</v>
      </c>
      <c r="D93" s="20">
        <f>Investment_Master!Y93</f>
        <v>0.12</v>
      </c>
      <c r="E93" s="19">
        <f t="shared" si="6"/>
        <v>-25620000</v>
      </c>
      <c r="F93" s="19">
        <f>Investment_Master!Q93/5</f>
        <v>5963908.8013287578</v>
      </c>
      <c r="G93" s="19">
        <f>Investment_Master!Q93/5</f>
        <v>5963908.8013287578</v>
      </c>
      <c r="H93" s="19">
        <f>Investment_Master!Q93/5</f>
        <v>5963908.8013287578</v>
      </c>
      <c r="I93" s="19">
        <f>Investment_Master!Q93/5</f>
        <v>5963908.8013287578</v>
      </c>
      <c r="J93" s="19">
        <f>Investment_Master!Q93/5</f>
        <v>5963908.8013287578</v>
      </c>
      <c r="K93" s="19">
        <f t="shared" si="7"/>
        <v>-4121443.4800141715</v>
      </c>
      <c r="L93" s="20">
        <f t="shared" si="8"/>
        <v>5.2827908376814836E-2</v>
      </c>
      <c r="M93" s="21">
        <f>Investment_Master!V93</f>
        <v>4.2958403378488734</v>
      </c>
    </row>
    <row r="94" spans="1:13" ht="15" customHeight="1" x14ac:dyDescent="0.25">
      <c r="A94" s="17" t="str">
        <f>Investment_Master!A94</f>
        <v>INV-090</v>
      </c>
      <c r="B94" s="17" t="str">
        <f>Investment_Master!B94</f>
        <v>Brand Repositioning – East</v>
      </c>
      <c r="C94" s="19">
        <f>Investment_Master!J94</f>
        <v>21130000</v>
      </c>
      <c r="D94" s="20">
        <f>Investment_Master!Y94</f>
        <v>0.1</v>
      </c>
      <c r="E94" s="19">
        <f t="shared" si="6"/>
        <v>-21130000</v>
      </c>
      <c r="F94" s="19">
        <f>Investment_Master!Q94/5</f>
        <v>5360262.7567226198</v>
      </c>
      <c r="G94" s="19">
        <f>Investment_Master!Q94/5</f>
        <v>5360262.7567226198</v>
      </c>
      <c r="H94" s="19">
        <f>Investment_Master!Q94/5</f>
        <v>5360262.7567226198</v>
      </c>
      <c r="I94" s="19">
        <f>Investment_Master!Q94/5</f>
        <v>5360262.7567226198</v>
      </c>
      <c r="J94" s="19">
        <f>Investment_Master!Q94/5</f>
        <v>5360262.7567226198</v>
      </c>
      <c r="K94" s="19">
        <f t="shared" si="7"/>
        <v>-810386.86126304418</v>
      </c>
      <c r="L94" s="20">
        <f t="shared" si="8"/>
        <v>8.4871080803067933E-2</v>
      </c>
      <c r="M94" s="21">
        <f>Investment_Master!V94</f>
        <v>3.9419709366858235</v>
      </c>
    </row>
    <row r="95" spans="1:13" ht="15" customHeight="1" x14ac:dyDescent="0.25">
      <c r="A95" s="17" t="str">
        <f>Investment_Master!A95</f>
        <v>INV-091</v>
      </c>
      <c r="B95" s="17" t="str">
        <f>Investment_Master!B95</f>
        <v>Premium Product Line – Central</v>
      </c>
      <c r="C95" s="19">
        <f>Investment_Master!J95</f>
        <v>17340000</v>
      </c>
      <c r="D95" s="20">
        <f>Investment_Master!Y95</f>
        <v>0.1</v>
      </c>
      <c r="E95" s="19">
        <f t="shared" si="6"/>
        <v>-17340000</v>
      </c>
      <c r="F95" s="19">
        <f>Investment_Master!Q95/5</f>
        <v>3734396.8608388482</v>
      </c>
      <c r="G95" s="19">
        <f>Investment_Master!Q95/5</f>
        <v>3734396.8608388482</v>
      </c>
      <c r="H95" s="19">
        <f>Investment_Master!Q95/5</f>
        <v>3734396.8608388482</v>
      </c>
      <c r="I95" s="19">
        <f>Investment_Master!Q95/5</f>
        <v>3734396.8608388482</v>
      </c>
      <c r="J95" s="19">
        <f>Investment_Master!Q95/5</f>
        <v>3734396.8608388482</v>
      </c>
      <c r="K95" s="19">
        <f t="shared" si="7"/>
        <v>-3183697.7882116549</v>
      </c>
      <c r="L95" s="20">
        <f t="shared" si="8"/>
        <v>2.5187640455722304E-2</v>
      </c>
      <c r="M95" s="21">
        <f>Investment_Master!V95</f>
        <v>4.6433200985781031</v>
      </c>
    </row>
    <row r="96" spans="1:13" ht="15" customHeight="1" x14ac:dyDescent="0.25">
      <c r="A96" s="17" t="str">
        <f>Investment_Master!A96</f>
        <v>INV-092</v>
      </c>
      <c r="B96" s="17" t="str">
        <f>Investment_Master!B96</f>
        <v>Tier-2 City Expansion – South</v>
      </c>
      <c r="C96" s="19">
        <f>Investment_Master!J96</f>
        <v>57300000</v>
      </c>
      <c r="D96" s="20">
        <f>Investment_Master!Y96</f>
        <v>0.09</v>
      </c>
      <c r="E96" s="19">
        <f t="shared" si="6"/>
        <v>-57300000</v>
      </c>
      <c r="F96" s="19">
        <f>Investment_Master!Q96/5</f>
        <v>12382398.516719067</v>
      </c>
      <c r="G96" s="19">
        <f>Investment_Master!Q96/5</f>
        <v>12382398.516719067</v>
      </c>
      <c r="H96" s="19">
        <f>Investment_Master!Q96/5</f>
        <v>12382398.516719067</v>
      </c>
      <c r="I96" s="19">
        <f>Investment_Master!Q96/5</f>
        <v>12382398.516719067</v>
      </c>
      <c r="J96" s="19">
        <f>Investment_Master!Q96/5</f>
        <v>12382398.516719067</v>
      </c>
      <c r="K96" s="19">
        <f t="shared" si="7"/>
        <v>-9136787.9661192596</v>
      </c>
      <c r="L96" s="20">
        <f t="shared" si="8"/>
        <v>2.6371996775724105E-2</v>
      </c>
      <c r="M96" s="21">
        <f>Investment_Master!V96</f>
        <v>4.6275364116759699</v>
      </c>
    </row>
    <row r="97" spans="1:13" ht="15" customHeight="1" x14ac:dyDescent="0.25">
      <c r="A97" s="17" t="str">
        <f>Investment_Master!A97</f>
        <v>INV-093</v>
      </c>
      <c r="B97" s="17" t="str">
        <f>Investment_Master!B97</f>
        <v>Automated Packaging Line – West</v>
      </c>
      <c r="C97" s="19">
        <f>Investment_Master!J97</f>
        <v>29260000</v>
      </c>
      <c r="D97" s="20">
        <f>Investment_Master!Y97</f>
        <v>0.11</v>
      </c>
      <c r="E97" s="19">
        <f t="shared" si="6"/>
        <v>-29260000</v>
      </c>
      <c r="F97" s="19">
        <f>Investment_Master!Q97/5</f>
        <v>6449148.4486648906</v>
      </c>
      <c r="G97" s="19">
        <f>Investment_Master!Q97/5</f>
        <v>6449148.4486648906</v>
      </c>
      <c r="H97" s="19">
        <f>Investment_Master!Q97/5</f>
        <v>6449148.4486648906</v>
      </c>
      <c r="I97" s="19">
        <f>Investment_Master!Q97/5</f>
        <v>6449148.4486648906</v>
      </c>
      <c r="J97" s="19">
        <f>Investment_Master!Q97/5</f>
        <v>6449148.4486648906</v>
      </c>
      <c r="K97" s="19">
        <f t="shared" si="7"/>
        <v>-5424611.4822007604</v>
      </c>
      <c r="L97" s="20">
        <f t="shared" si="8"/>
        <v>3.3287581363067087E-2</v>
      </c>
      <c r="M97" s="21">
        <f>Investment_Master!V97</f>
        <v>4.5370331033483087</v>
      </c>
    </row>
    <row r="98" spans="1:13" ht="15" customHeight="1" x14ac:dyDescent="0.25">
      <c r="A98" s="17" t="str">
        <f>Investment_Master!A98</f>
        <v>INV-094</v>
      </c>
      <c r="B98" s="17" t="str">
        <f>Investment_Master!B98</f>
        <v>RPA Finance Rollout – North</v>
      </c>
      <c r="C98" s="19">
        <f>Investment_Master!J98</f>
        <v>20030000</v>
      </c>
      <c r="D98" s="20">
        <f>Investment_Master!Y98</f>
        <v>0.1</v>
      </c>
      <c r="E98" s="19">
        <f t="shared" si="6"/>
        <v>-20030000</v>
      </c>
      <c r="F98" s="19">
        <f>Investment_Master!Q98/5</f>
        <v>5791703.5229575345</v>
      </c>
      <c r="G98" s="19">
        <f>Investment_Master!Q98/5</f>
        <v>5791703.5229575345</v>
      </c>
      <c r="H98" s="19">
        <f>Investment_Master!Q98/5</f>
        <v>5791703.5229575345</v>
      </c>
      <c r="I98" s="19">
        <f>Investment_Master!Q98/5</f>
        <v>5791703.5229575345</v>
      </c>
      <c r="J98" s="19">
        <f>Investment_Master!Q98/5</f>
        <v>5791703.5229575345</v>
      </c>
      <c r="K98" s="19">
        <f t="shared" si="7"/>
        <v>1925113.0871637166</v>
      </c>
      <c r="L98" s="20">
        <f t="shared" si="8"/>
        <v>0.13695025867595523</v>
      </c>
      <c r="M98" s="21">
        <f>Investment_Master!V98</f>
        <v>3.4583952580797295</v>
      </c>
    </row>
    <row r="99" spans="1:13" ht="15" customHeight="1" x14ac:dyDescent="0.25">
      <c r="A99" s="17" t="str">
        <f>Investment_Master!A99</f>
        <v>INV-095</v>
      </c>
      <c r="B99" s="17" t="str">
        <f>Investment_Master!B99</f>
        <v>Leadership Development – East</v>
      </c>
      <c r="C99" s="19">
        <f>Investment_Master!J99</f>
        <v>3890000</v>
      </c>
      <c r="D99" s="20">
        <f>Investment_Master!Y99</f>
        <v>0.12</v>
      </c>
      <c r="E99" s="19">
        <f t="shared" si="6"/>
        <v>-3890000</v>
      </c>
      <c r="F99" s="19">
        <f>Investment_Master!Q99/5</f>
        <v>742227.38859884534</v>
      </c>
      <c r="G99" s="19">
        <f>Investment_Master!Q99/5</f>
        <v>742227.38859884534</v>
      </c>
      <c r="H99" s="19">
        <f>Investment_Master!Q99/5</f>
        <v>742227.38859884534</v>
      </c>
      <c r="I99" s="19">
        <f>Investment_Master!Q99/5</f>
        <v>742227.38859884534</v>
      </c>
      <c r="J99" s="19">
        <f>Investment_Master!Q99/5</f>
        <v>742227.38859884534</v>
      </c>
      <c r="K99" s="19">
        <f t="shared" si="7"/>
        <v>-1214436.3728502044</v>
      </c>
      <c r="L99" s="20">
        <f t="shared" si="8"/>
        <v>-1.5487890921792924E-2</v>
      </c>
      <c r="M99" s="21">
        <f>Investment_Master!V99</f>
        <v>5.2409814832398274</v>
      </c>
    </row>
    <row r="100" spans="1:13" ht="15" customHeight="1" x14ac:dyDescent="0.25">
      <c r="A100" s="17" t="str">
        <f>Investment_Master!A100</f>
        <v>INV-096</v>
      </c>
      <c r="B100" s="17" t="str">
        <f>Investment_Master!B100</f>
        <v>Plant Utility Upgrade – Central</v>
      </c>
      <c r="C100" s="19">
        <f>Investment_Master!J100</f>
        <v>38670000</v>
      </c>
      <c r="D100" s="20">
        <f>Investment_Master!Y100</f>
        <v>0.11</v>
      </c>
      <c r="E100" s="19">
        <f t="shared" si="6"/>
        <v>-38670000</v>
      </c>
      <c r="F100" s="19">
        <f>Investment_Master!Q100/5</f>
        <v>8157154.8944493439</v>
      </c>
      <c r="G100" s="19">
        <f>Investment_Master!Q100/5</f>
        <v>8157154.8944493439</v>
      </c>
      <c r="H100" s="19">
        <f>Investment_Master!Q100/5</f>
        <v>8157154.8944493439</v>
      </c>
      <c r="I100" s="19">
        <f>Investment_Master!Q100/5</f>
        <v>8157154.8944493439</v>
      </c>
      <c r="J100" s="19">
        <f>Investment_Master!Q100/5</f>
        <v>8157154.8944493439</v>
      </c>
      <c r="K100" s="19">
        <f t="shared" si="7"/>
        <v>-8521995.5530999415</v>
      </c>
      <c r="L100" s="20">
        <f t="shared" si="8"/>
        <v>1.8023262301116061E-2</v>
      </c>
      <c r="M100" s="21">
        <f>Investment_Master!V100</f>
        <v>4.7406234772265474</v>
      </c>
    </row>
    <row r="101" spans="1:13" ht="15" customHeight="1" x14ac:dyDescent="0.25">
      <c r="A101" s="17" t="str">
        <f>Investment_Master!A101</f>
        <v>INV-097</v>
      </c>
      <c r="B101" s="17" t="str">
        <f>Investment_Master!B101</f>
        <v>ERP Cloud Migration – South</v>
      </c>
      <c r="C101" s="19">
        <f>Investment_Master!J101</f>
        <v>34010000</v>
      </c>
      <c r="D101" s="20">
        <f>Investment_Master!Y101</f>
        <v>0.11</v>
      </c>
      <c r="E101" s="19">
        <f t="shared" ref="E101:E132" si="9">-C101</f>
        <v>-34010000</v>
      </c>
      <c r="F101" s="19">
        <f>Investment_Master!Q101/5</f>
        <v>8743113.5719516613</v>
      </c>
      <c r="G101" s="19">
        <f>Investment_Master!Q101/5</f>
        <v>8743113.5719516613</v>
      </c>
      <c r="H101" s="19">
        <f>Investment_Master!Q101/5</f>
        <v>8743113.5719516613</v>
      </c>
      <c r="I101" s="19">
        <f>Investment_Master!Q101/5</f>
        <v>8743113.5719516613</v>
      </c>
      <c r="J101" s="19">
        <f>Investment_Master!Q101/5</f>
        <v>8743113.5719516613</v>
      </c>
      <c r="K101" s="19">
        <f t="shared" ref="K101:K132" si="10">NPV(D101,F101:J101)+E101</f>
        <v>-1696352.6244532987</v>
      </c>
      <c r="L101" s="20">
        <f t="shared" ref="L101:L132" si="11">IFERROR(IRR(E101:J101),0)</f>
        <v>8.9973513705079E-2</v>
      </c>
      <c r="M101" s="21">
        <f>Investment_Master!V101</f>
        <v>3.8899185879393987</v>
      </c>
    </row>
    <row r="102" spans="1:13" ht="15" customHeight="1" x14ac:dyDescent="0.25">
      <c r="A102" s="17" t="str">
        <f>Investment_Master!A102</f>
        <v>INV-098</v>
      </c>
      <c r="B102" s="17" t="str">
        <f>Investment_Master!B102</f>
        <v>Brand Repositioning – West</v>
      </c>
      <c r="C102" s="19">
        <f>Investment_Master!J102</f>
        <v>14140000</v>
      </c>
      <c r="D102" s="20">
        <f>Investment_Master!Y102</f>
        <v>0.11</v>
      </c>
      <c r="E102" s="19">
        <f t="shared" si="9"/>
        <v>-14140000</v>
      </c>
      <c r="F102" s="19">
        <f>Investment_Master!Q102/5</f>
        <v>3184186.9984418279</v>
      </c>
      <c r="G102" s="19">
        <f>Investment_Master!Q102/5</f>
        <v>3184186.9984418279</v>
      </c>
      <c r="H102" s="19">
        <f>Investment_Master!Q102/5</f>
        <v>3184186.9984418279</v>
      </c>
      <c r="I102" s="19">
        <f>Investment_Master!Q102/5</f>
        <v>3184186.9984418279</v>
      </c>
      <c r="J102" s="19">
        <f>Investment_Master!Q102/5</f>
        <v>3184186.9984418279</v>
      </c>
      <c r="K102" s="19">
        <f t="shared" si="10"/>
        <v>-2371572.768820649</v>
      </c>
      <c r="L102" s="20">
        <f t="shared" si="11"/>
        <v>4.0891581417851874E-2</v>
      </c>
      <c r="M102" s="21">
        <f>Investment_Master!V102</f>
        <v>4.4406939689532576</v>
      </c>
    </row>
    <row r="103" spans="1:13" ht="15" customHeight="1" x14ac:dyDescent="0.25">
      <c r="A103" s="17" t="str">
        <f>Investment_Master!A103</f>
        <v>INV-099</v>
      </c>
      <c r="B103" s="17" t="str">
        <f>Investment_Master!B103</f>
        <v>Premium Product Line – North</v>
      </c>
      <c r="C103" s="19">
        <f>Investment_Master!J103</f>
        <v>15200000</v>
      </c>
      <c r="D103" s="20">
        <f>Investment_Master!Y103</f>
        <v>0.11</v>
      </c>
      <c r="E103" s="19">
        <f t="shared" si="9"/>
        <v>-15200000</v>
      </c>
      <c r="F103" s="19">
        <f>Investment_Master!Q103/5</f>
        <v>3217331.9589800462</v>
      </c>
      <c r="G103" s="19">
        <f>Investment_Master!Q103/5</f>
        <v>3217331.9589800462</v>
      </c>
      <c r="H103" s="19">
        <f>Investment_Master!Q103/5</f>
        <v>3217331.9589800462</v>
      </c>
      <c r="I103" s="19">
        <f>Investment_Master!Q103/5</f>
        <v>3217331.9589800462</v>
      </c>
      <c r="J103" s="19">
        <f>Investment_Master!Q103/5</f>
        <v>3217331.9589800462</v>
      </c>
      <c r="K103" s="19">
        <f t="shared" si="10"/>
        <v>-3309072.4080173392</v>
      </c>
      <c r="L103" s="20">
        <f t="shared" si="11"/>
        <v>1.9200879234462009E-2</v>
      </c>
      <c r="M103" s="21">
        <f>Investment_Master!V103</f>
        <v>4.7244114669530966</v>
      </c>
    </row>
    <row r="104" spans="1:13" ht="15" customHeight="1" x14ac:dyDescent="0.25">
      <c r="A104" s="17" t="str">
        <f>Investment_Master!A104</f>
        <v>INV-100</v>
      </c>
      <c r="B104" s="17" t="str">
        <f>Investment_Master!B104</f>
        <v>Tier-2 City Expansion – East</v>
      </c>
      <c r="C104" s="19">
        <f>Investment_Master!J104</f>
        <v>20910000</v>
      </c>
      <c r="D104" s="20">
        <f>Investment_Master!Y104</f>
        <v>0.09</v>
      </c>
      <c r="E104" s="19">
        <f t="shared" si="9"/>
        <v>-20910000</v>
      </c>
      <c r="F104" s="19">
        <f>Investment_Master!Q104/5</f>
        <v>4109343.1762065543</v>
      </c>
      <c r="G104" s="19">
        <f>Investment_Master!Q104/5</f>
        <v>4109343.1762065543</v>
      </c>
      <c r="H104" s="19">
        <f>Investment_Master!Q104/5</f>
        <v>4109343.1762065543</v>
      </c>
      <c r="I104" s="19">
        <f>Investment_Master!Q104/5</f>
        <v>4109343.1762065543</v>
      </c>
      <c r="J104" s="19">
        <f>Investment_Master!Q104/5</f>
        <v>4109343.1762065543</v>
      </c>
      <c r="K104" s="19">
        <f t="shared" si="10"/>
        <v>-4926088.1231224202</v>
      </c>
      <c r="L104" s="20">
        <f t="shared" si="11"/>
        <v>-5.8138333598382053E-3</v>
      </c>
      <c r="M104" s="21">
        <f>Investment_Master!V104</f>
        <v>5.0884044245977496</v>
      </c>
    </row>
    <row r="105" spans="1:13" ht="15" customHeight="1" x14ac:dyDescent="0.25">
      <c r="A105" s="17" t="str">
        <f>Investment_Master!A105</f>
        <v>INV-101</v>
      </c>
      <c r="B105" s="17" t="str">
        <f>Investment_Master!B105</f>
        <v>Automated Packaging Line – Central</v>
      </c>
      <c r="C105" s="19">
        <f>Investment_Master!J105</f>
        <v>14740000</v>
      </c>
      <c r="D105" s="20">
        <f>Investment_Master!Y105</f>
        <v>0.11</v>
      </c>
      <c r="E105" s="19">
        <f t="shared" si="9"/>
        <v>-14740000</v>
      </c>
      <c r="F105" s="19">
        <f>Investment_Master!Q105/5</f>
        <v>3642850.3481685994</v>
      </c>
      <c r="G105" s="19">
        <f>Investment_Master!Q105/5</f>
        <v>3642850.3481685994</v>
      </c>
      <c r="H105" s="19">
        <f>Investment_Master!Q105/5</f>
        <v>3642850.3481685994</v>
      </c>
      <c r="I105" s="19">
        <f>Investment_Master!Q105/5</f>
        <v>3642850.3481685994</v>
      </c>
      <c r="J105" s="19">
        <f>Investment_Master!Q105/5</f>
        <v>3642850.3481685994</v>
      </c>
      <c r="K105" s="19">
        <f t="shared" si="10"/>
        <v>-1276400.2624603603</v>
      </c>
      <c r="L105" s="20">
        <f t="shared" si="11"/>
        <v>7.4963050327515157E-2</v>
      </c>
      <c r="M105" s="21">
        <f>Investment_Master!V105</f>
        <v>4.0462820569640918</v>
      </c>
    </row>
    <row r="106" spans="1:13" ht="15" customHeight="1" x14ac:dyDescent="0.25">
      <c r="A106" s="17" t="str">
        <f>Investment_Master!A106</f>
        <v>INV-102</v>
      </c>
      <c r="B106" s="17" t="str">
        <f>Investment_Master!B106</f>
        <v>RPA Finance Rollout – South</v>
      </c>
      <c r="C106" s="19">
        <f>Investment_Master!J106</f>
        <v>7830000</v>
      </c>
      <c r="D106" s="20">
        <f>Investment_Master!Y106</f>
        <v>0.11</v>
      </c>
      <c r="E106" s="19">
        <f t="shared" si="9"/>
        <v>-7830000</v>
      </c>
      <c r="F106" s="19">
        <f>Investment_Master!Q106/5</f>
        <v>2054691.2591297918</v>
      </c>
      <c r="G106" s="19">
        <f>Investment_Master!Q106/5</f>
        <v>2054691.2591297918</v>
      </c>
      <c r="H106" s="19">
        <f>Investment_Master!Q106/5</f>
        <v>2054691.2591297918</v>
      </c>
      <c r="I106" s="19">
        <f>Investment_Master!Q106/5</f>
        <v>2054691.2591297918</v>
      </c>
      <c r="J106" s="19">
        <f>Investment_Master!Q106/5</f>
        <v>2054691.2591297918</v>
      </c>
      <c r="K106" s="19">
        <f t="shared" si="10"/>
        <v>-236072.70319177955</v>
      </c>
      <c r="L106" s="20">
        <f t="shared" si="11"/>
        <v>9.7942997751364613E-2</v>
      </c>
      <c r="M106" s="21">
        <f>Investment_Master!V106</f>
        <v>3.8107915070978509</v>
      </c>
    </row>
    <row r="107" spans="1:13" ht="15" customHeight="1" x14ac:dyDescent="0.25">
      <c r="A107" s="17" t="str">
        <f>Investment_Master!A107</f>
        <v>INV-103</v>
      </c>
      <c r="B107" s="17" t="str">
        <f>Investment_Master!B107</f>
        <v>Leadership Development – West</v>
      </c>
      <c r="C107" s="19">
        <f>Investment_Master!J107</f>
        <v>3010000</v>
      </c>
      <c r="D107" s="20">
        <f>Investment_Master!Y107</f>
        <v>0.1</v>
      </c>
      <c r="E107" s="19">
        <f t="shared" si="9"/>
        <v>-3010000</v>
      </c>
      <c r="F107" s="19">
        <f>Investment_Master!Q107/5</f>
        <v>634715.12654322619</v>
      </c>
      <c r="G107" s="19">
        <f>Investment_Master!Q107/5</f>
        <v>634715.12654322619</v>
      </c>
      <c r="H107" s="19">
        <f>Investment_Master!Q107/5</f>
        <v>634715.12654322619</v>
      </c>
      <c r="I107" s="19">
        <f>Investment_Master!Q107/5</f>
        <v>634715.12654322619</v>
      </c>
      <c r="J107" s="19">
        <f>Investment_Master!Q107/5</f>
        <v>634715.12654322619</v>
      </c>
      <c r="K107" s="19">
        <f t="shared" si="10"/>
        <v>-603930.29595653014</v>
      </c>
      <c r="L107" s="20">
        <f t="shared" si="11"/>
        <v>1.7902930478846502E-2</v>
      </c>
      <c r="M107" s="21">
        <f>Investment_Master!V107</f>
        <v>4.7422849623783296</v>
      </c>
    </row>
    <row r="108" spans="1:13" ht="15" customHeight="1" x14ac:dyDescent="0.25">
      <c r="A108" s="17" t="str">
        <f>Investment_Master!A108</f>
        <v>INV-104</v>
      </c>
      <c r="B108" s="17" t="str">
        <f>Investment_Master!B108</f>
        <v>Plant Utility Upgrade – North</v>
      </c>
      <c r="C108" s="19">
        <f>Investment_Master!J108</f>
        <v>42930000</v>
      </c>
      <c r="D108" s="20">
        <f>Investment_Master!Y108</f>
        <v>0.11</v>
      </c>
      <c r="E108" s="19">
        <f t="shared" si="9"/>
        <v>-42930000</v>
      </c>
      <c r="F108" s="19">
        <f>Investment_Master!Q108/5</f>
        <v>9688725.608213637</v>
      </c>
      <c r="G108" s="19">
        <f>Investment_Master!Q108/5</f>
        <v>9688725.608213637</v>
      </c>
      <c r="H108" s="19">
        <f>Investment_Master!Q108/5</f>
        <v>9688725.608213637</v>
      </c>
      <c r="I108" s="19">
        <f>Investment_Master!Q108/5</f>
        <v>9688725.608213637</v>
      </c>
      <c r="J108" s="19">
        <f>Investment_Master!Q108/5</f>
        <v>9688725.608213637</v>
      </c>
      <c r="K108" s="19">
        <f t="shared" si="10"/>
        <v>-7121467.9197792262</v>
      </c>
      <c r="L108" s="20">
        <f t="shared" si="11"/>
        <v>4.1677296693717558E-2</v>
      </c>
      <c r="M108" s="21">
        <f>Investment_Master!V108</f>
        <v>4.4309232953822129</v>
      </c>
    </row>
    <row r="109" spans="1:13" ht="15" customHeight="1" x14ac:dyDescent="0.25">
      <c r="A109" s="17" t="str">
        <f>Investment_Master!A109</f>
        <v>INV-105</v>
      </c>
      <c r="B109" s="17" t="str">
        <f>Investment_Master!B109</f>
        <v>ERP Cloud Migration – East</v>
      </c>
      <c r="C109" s="19">
        <f>Investment_Master!J109</f>
        <v>34630000</v>
      </c>
      <c r="D109" s="20">
        <f>Investment_Master!Y109</f>
        <v>0.11</v>
      </c>
      <c r="E109" s="19">
        <f t="shared" si="9"/>
        <v>-34630000</v>
      </c>
      <c r="F109" s="19">
        <f>Investment_Master!Q109/5</f>
        <v>8003387.0904925149</v>
      </c>
      <c r="G109" s="19">
        <f>Investment_Master!Q109/5</f>
        <v>8003387.0904925149</v>
      </c>
      <c r="H109" s="19">
        <f>Investment_Master!Q109/5</f>
        <v>8003387.0904925149</v>
      </c>
      <c r="I109" s="19">
        <f>Investment_Master!Q109/5</f>
        <v>8003387.0904925149</v>
      </c>
      <c r="J109" s="19">
        <f>Investment_Master!Q109/5</f>
        <v>8003387.0904925149</v>
      </c>
      <c r="K109" s="19">
        <f t="shared" si="10"/>
        <v>-5050305.5211544856</v>
      </c>
      <c r="L109" s="20">
        <f t="shared" si="11"/>
        <v>5.0213889198849948E-2</v>
      </c>
      <c r="M109" s="21">
        <f>Investment_Master!V109</f>
        <v>4.3269180421297015</v>
      </c>
    </row>
    <row r="110" spans="1:13" ht="15" customHeight="1" x14ac:dyDescent="0.25">
      <c r="A110" s="17" t="str">
        <f>Investment_Master!A110</f>
        <v>INV-106</v>
      </c>
      <c r="B110" s="17" t="str">
        <f>Investment_Master!B110</f>
        <v>Brand Repositioning – Central</v>
      </c>
      <c r="C110" s="19">
        <f>Investment_Master!J110</f>
        <v>8700000</v>
      </c>
      <c r="D110" s="20">
        <f>Investment_Master!Y110</f>
        <v>0.1</v>
      </c>
      <c r="E110" s="19">
        <f t="shared" si="9"/>
        <v>-8700000</v>
      </c>
      <c r="F110" s="19">
        <f>Investment_Master!Q110/5</f>
        <v>1985132.6852788045</v>
      </c>
      <c r="G110" s="19">
        <f>Investment_Master!Q110/5</f>
        <v>1985132.6852788045</v>
      </c>
      <c r="H110" s="19">
        <f>Investment_Master!Q110/5</f>
        <v>1985132.6852788045</v>
      </c>
      <c r="I110" s="19">
        <f>Investment_Master!Q110/5</f>
        <v>1985132.6852788045</v>
      </c>
      <c r="J110" s="19">
        <f>Investment_Master!Q110/5</f>
        <v>1985132.6852788045</v>
      </c>
      <c r="K110" s="19">
        <f t="shared" si="10"/>
        <v>-1174785.2811248451</v>
      </c>
      <c r="L110" s="20">
        <f t="shared" si="11"/>
        <v>4.5605561775867054E-2</v>
      </c>
      <c r="M110" s="21">
        <f>Investment_Master!V110</f>
        <v>4.3825785875759316</v>
      </c>
    </row>
    <row r="111" spans="1:13" ht="15" customHeight="1" x14ac:dyDescent="0.25">
      <c r="A111" s="17" t="str">
        <f>Investment_Master!A111</f>
        <v>INV-107</v>
      </c>
      <c r="B111" s="17" t="str">
        <f>Investment_Master!B111</f>
        <v>Premium Product Line – South</v>
      </c>
      <c r="C111" s="19">
        <f>Investment_Master!J111</f>
        <v>24380000</v>
      </c>
      <c r="D111" s="20">
        <f>Investment_Master!Y111</f>
        <v>0.12</v>
      </c>
      <c r="E111" s="19">
        <f t="shared" si="9"/>
        <v>-24380000</v>
      </c>
      <c r="F111" s="19">
        <f>Investment_Master!Q111/5</f>
        <v>4992507.0119628841</v>
      </c>
      <c r="G111" s="19">
        <f>Investment_Master!Q111/5</f>
        <v>4992507.0119628841</v>
      </c>
      <c r="H111" s="19">
        <f>Investment_Master!Q111/5</f>
        <v>4992507.0119628841</v>
      </c>
      <c r="I111" s="19">
        <f>Investment_Master!Q111/5</f>
        <v>4992507.0119628841</v>
      </c>
      <c r="J111" s="19">
        <f>Investment_Master!Q111/5</f>
        <v>4992507.0119628841</v>
      </c>
      <c r="K111" s="19">
        <f t="shared" si="10"/>
        <v>-6383129.5332356319</v>
      </c>
      <c r="L111" s="20">
        <f t="shared" si="11"/>
        <v>7.9229746608031615E-3</v>
      </c>
      <c r="M111" s="21">
        <f>Investment_Master!V111</f>
        <v>4.883318128864202</v>
      </c>
    </row>
    <row r="112" spans="1:13" ht="15" customHeight="1" x14ac:dyDescent="0.25">
      <c r="A112" s="17" t="str">
        <f>Investment_Master!A112</f>
        <v>INV-108</v>
      </c>
      <c r="B112" s="17" t="str">
        <f>Investment_Master!B112</f>
        <v>Tier-2 City Expansion – West</v>
      </c>
      <c r="C112" s="19">
        <f>Investment_Master!J112</f>
        <v>63450000</v>
      </c>
      <c r="D112" s="20">
        <f>Investment_Master!Y112</f>
        <v>0.09</v>
      </c>
      <c r="E112" s="19">
        <f t="shared" si="9"/>
        <v>-63450000</v>
      </c>
      <c r="F112" s="19">
        <f>Investment_Master!Q112/5</f>
        <v>14321454.447248921</v>
      </c>
      <c r="G112" s="19">
        <f>Investment_Master!Q112/5</f>
        <v>14321454.447248921</v>
      </c>
      <c r="H112" s="19">
        <f>Investment_Master!Q112/5</f>
        <v>14321454.447248921</v>
      </c>
      <c r="I112" s="19">
        <f>Investment_Master!Q112/5</f>
        <v>14321454.447248921</v>
      </c>
      <c r="J112" s="19">
        <f>Investment_Master!Q112/5</f>
        <v>14321454.447248921</v>
      </c>
      <c r="K112" s="19">
        <f t="shared" si="10"/>
        <v>-7744536.6162241772</v>
      </c>
      <c r="L112" s="20">
        <f t="shared" si="11"/>
        <v>4.1718171005721505E-2</v>
      </c>
      <c r="M112" s="21">
        <f>Investment_Master!V112</f>
        <v>4.4304159353164323</v>
      </c>
    </row>
    <row r="113" spans="1:13" ht="15" customHeight="1" x14ac:dyDescent="0.25">
      <c r="A113" s="17" t="str">
        <f>Investment_Master!A113</f>
        <v>INV-109</v>
      </c>
      <c r="B113" s="17" t="str">
        <f>Investment_Master!B113</f>
        <v>Automated Packaging Line – North</v>
      </c>
      <c r="C113" s="19">
        <f>Investment_Master!J113</f>
        <v>31090000</v>
      </c>
      <c r="D113" s="20">
        <f>Investment_Master!Y113</f>
        <v>0.11</v>
      </c>
      <c r="E113" s="19">
        <f t="shared" si="9"/>
        <v>-31090000</v>
      </c>
      <c r="F113" s="19">
        <f>Investment_Master!Q113/5</f>
        <v>7078850.3465613276</v>
      </c>
      <c r="G113" s="19">
        <f>Investment_Master!Q113/5</f>
        <v>7078850.3465613276</v>
      </c>
      <c r="H113" s="19">
        <f>Investment_Master!Q113/5</f>
        <v>7078850.3465613276</v>
      </c>
      <c r="I113" s="19">
        <f>Investment_Master!Q113/5</f>
        <v>7078850.3465613276</v>
      </c>
      <c r="J113" s="19">
        <f>Investment_Master!Q113/5</f>
        <v>7078850.3465613276</v>
      </c>
      <c r="K113" s="19">
        <f t="shared" si="10"/>
        <v>-4927298.1157571115</v>
      </c>
      <c r="L113" s="20">
        <f t="shared" si="11"/>
        <v>4.4838256350330896E-2</v>
      </c>
      <c r="M113" s="21">
        <f>Investment_Master!V113</f>
        <v>4.3919561055705181</v>
      </c>
    </row>
    <row r="114" spans="1:13" ht="15" customHeight="1" x14ac:dyDescent="0.25">
      <c r="A114" s="17" t="str">
        <f>Investment_Master!A114</f>
        <v>INV-110</v>
      </c>
      <c r="B114" s="17" t="str">
        <f>Investment_Master!B114</f>
        <v>RPA Finance Rollout – East</v>
      </c>
      <c r="C114" s="19">
        <f>Investment_Master!J114</f>
        <v>28940000</v>
      </c>
      <c r="D114" s="20">
        <f>Investment_Master!Y114</f>
        <v>0.11</v>
      </c>
      <c r="E114" s="19">
        <f t="shared" si="9"/>
        <v>-28940000</v>
      </c>
      <c r="F114" s="19">
        <f>Investment_Master!Q114/5</f>
        <v>7254621.3205790836</v>
      </c>
      <c r="G114" s="19">
        <f>Investment_Master!Q114/5</f>
        <v>7254621.3205790836</v>
      </c>
      <c r="H114" s="19">
        <f>Investment_Master!Q114/5</f>
        <v>7254621.3205790836</v>
      </c>
      <c r="I114" s="19">
        <f>Investment_Master!Q114/5</f>
        <v>7254621.3205790836</v>
      </c>
      <c r="J114" s="19">
        <f>Investment_Master!Q114/5</f>
        <v>7254621.3205790836</v>
      </c>
      <c r="K114" s="19">
        <f t="shared" si="10"/>
        <v>-2127666.6970955469</v>
      </c>
      <c r="L114" s="20">
        <f t="shared" si="11"/>
        <v>8.0335559856817174E-2</v>
      </c>
      <c r="M114" s="21">
        <f>Investment_Master!V114</f>
        <v>3.9891813398869358</v>
      </c>
    </row>
    <row r="115" spans="1:13" ht="15" customHeight="1" x14ac:dyDescent="0.25">
      <c r="A115" s="17" t="str">
        <f>Investment_Master!A115</f>
        <v>INV-111</v>
      </c>
      <c r="B115" s="17" t="str">
        <f>Investment_Master!B115</f>
        <v>Leadership Development – Central</v>
      </c>
      <c r="C115" s="19">
        <f>Investment_Master!J115</f>
        <v>5810000</v>
      </c>
      <c r="D115" s="20">
        <f>Investment_Master!Y115</f>
        <v>0.11</v>
      </c>
      <c r="E115" s="19">
        <f t="shared" si="9"/>
        <v>-5810000</v>
      </c>
      <c r="F115" s="19">
        <f>Investment_Master!Q115/5</f>
        <v>1044563.1715424352</v>
      </c>
      <c r="G115" s="19">
        <f>Investment_Master!Q115/5</f>
        <v>1044563.1715424352</v>
      </c>
      <c r="H115" s="19">
        <f>Investment_Master!Q115/5</f>
        <v>1044563.1715424352</v>
      </c>
      <c r="I115" s="19">
        <f>Investment_Master!Q115/5</f>
        <v>1044563.1715424352</v>
      </c>
      <c r="J115" s="19">
        <f>Investment_Master!Q115/5</f>
        <v>1044563.1715424352</v>
      </c>
      <c r="K115" s="19">
        <f t="shared" si="10"/>
        <v>-1949402.0895498479</v>
      </c>
      <c r="L115" s="20">
        <f t="shared" si="11"/>
        <v>-3.4494975102094094E-2</v>
      </c>
      <c r="M115" s="21">
        <f>Investment_Master!V115</f>
        <v>5.5621336825620311</v>
      </c>
    </row>
    <row r="116" spans="1:13" ht="15" customHeight="1" x14ac:dyDescent="0.25">
      <c r="A116" s="17" t="str">
        <f>Investment_Master!A116</f>
        <v>INV-112</v>
      </c>
      <c r="B116" s="17" t="str">
        <f>Investment_Master!B116</f>
        <v>Plant Utility Upgrade – South</v>
      </c>
      <c r="C116" s="19">
        <f>Investment_Master!J116</f>
        <v>56870000</v>
      </c>
      <c r="D116" s="20">
        <f>Investment_Master!Y116</f>
        <v>0.11</v>
      </c>
      <c r="E116" s="19">
        <f t="shared" si="9"/>
        <v>-56870000</v>
      </c>
      <c r="F116" s="19">
        <f>Investment_Master!Q116/5</f>
        <v>11985303.596838702</v>
      </c>
      <c r="G116" s="19">
        <f>Investment_Master!Q116/5</f>
        <v>11985303.596838702</v>
      </c>
      <c r="H116" s="19">
        <f>Investment_Master!Q116/5</f>
        <v>11985303.596838702</v>
      </c>
      <c r="I116" s="19">
        <f>Investment_Master!Q116/5</f>
        <v>11985303.596838702</v>
      </c>
      <c r="J116" s="19">
        <f>Investment_Master!Q116/5</f>
        <v>11985303.596838702</v>
      </c>
      <c r="K116" s="19">
        <f t="shared" si="10"/>
        <v>-12573552.180820443</v>
      </c>
      <c r="L116" s="20">
        <f t="shared" si="11"/>
        <v>1.7708040705578298E-2</v>
      </c>
      <c r="M116" s="21">
        <f>Investment_Master!V116</f>
        <v>4.7449778422801314</v>
      </c>
    </row>
    <row r="117" spans="1:13" ht="15" customHeight="1" x14ac:dyDescent="0.25">
      <c r="A117" s="17" t="str">
        <f>Investment_Master!A117</f>
        <v>INV-113</v>
      </c>
      <c r="B117" s="17" t="str">
        <f>Investment_Master!B117</f>
        <v>ERP Cloud Migration – West</v>
      </c>
      <c r="C117" s="19">
        <f>Investment_Master!J117</f>
        <v>8580000</v>
      </c>
      <c r="D117" s="20">
        <f>Investment_Master!Y117</f>
        <v>0.12</v>
      </c>
      <c r="E117" s="19">
        <f t="shared" si="9"/>
        <v>-8580000</v>
      </c>
      <c r="F117" s="19">
        <f>Investment_Master!Q117/5</f>
        <v>2155108.77439644</v>
      </c>
      <c r="G117" s="19">
        <f>Investment_Master!Q117/5</f>
        <v>2155108.77439644</v>
      </c>
      <c r="H117" s="19">
        <f>Investment_Master!Q117/5</f>
        <v>2155108.77439644</v>
      </c>
      <c r="I117" s="19">
        <f>Investment_Master!Q117/5</f>
        <v>2155108.77439644</v>
      </c>
      <c r="J117" s="19">
        <f>Investment_Master!Q117/5</f>
        <v>2155108.77439644</v>
      </c>
      <c r="K117" s="19">
        <f t="shared" si="10"/>
        <v>-811315.17659080401</v>
      </c>
      <c r="L117" s="20">
        <f t="shared" si="11"/>
        <v>8.1092707006335862E-2</v>
      </c>
      <c r="M117" s="21">
        <f>Investment_Master!V117</f>
        <v>3.9812375606901398</v>
      </c>
    </row>
    <row r="118" spans="1:13" ht="15" customHeight="1" x14ac:dyDescent="0.25">
      <c r="A118" s="17" t="str">
        <f>Investment_Master!A118</f>
        <v>INV-114</v>
      </c>
      <c r="B118" s="17" t="str">
        <f>Investment_Master!B118</f>
        <v>Brand Repositioning – North</v>
      </c>
      <c r="C118" s="19">
        <f>Investment_Master!J118</f>
        <v>10810000</v>
      </c>
      <c r="D118" s="20">
        <f>Investment_Master!Y118</f>
        <v>0.11</v>
      </c>
      <c r="E118" s="19">
        <f t="shared" si="9"/>
        <v>-10810000</v>
      </c>
      <c r="F118" s="19">
        <f>Investment_Master!Q118/5</f>
        <v>2688659.2342490661</v>
      </c>
      <c r="G118" s="19">
        <f>Investment_Master!Q118/5</f>
        <v>2688659.2342490661</v>
      </c>
      <c r="H118" s="19">
        <f>Investment_Master!Q118/5</f>
        <v>2688659.2342490661</v>
      </c>
      <c r="I118" s="19">
        <f>Investment_Master!Q118/5</f>
        <v>2688659.2342490661</v>
      </c>
      <c r="J118" s="19">
        <f>Investment_Master!Q118/5</f>
        <v>2688659.2342490661</v>
      </c>
      <c r="K118" s="19">
        <f t="shared" si="10"/>
        <v>-872992.35466318391</v>
      </c>
      <c r="L118" s="20">
        <f t="shared" si="11"/>
        <v>7.7365185669763248E-2</v>
      </c>
      <c r="M118" s="21">
        <f>Investment_Master!V118</f>
        <v>4.0205913275652421</v>
      </c>
    </row>
    <row r="119" spans="1:13" ht="15" customHeight="1" x14ac:dyDescent="0.25">
      <c r="A119" s="17" t="str">
        <f>Investment_Master!A119</f>
        <v>INV-115</v>
      </c>
      <c r="B119" s="17" t="str">
        <f>Investment_Master!B119</f>
        <v>Premium Product Line – East</v>
      </c>
      <c r="C119" s="19">
        <f>Investment_Master!J119</f>
        <v>33160000</v>
      </c>
      <c r="D119" s="20">
        <f>Investment_Master!Y119</f>
        <v>0.1</v>
      </c>
      <c r="E119" s="19">
        <f t="shared" si="9"/>
        <v>-33160000</v>
      </c>
      <c r="F119" s="19">
        <f>Investment_Master!Q119/5</f>
        <v>7642317.837292348</v>
      </c>
      <c r="G119" s="19">
        <f>Investment_Master!Q119/5</f>
        <v>7642317.837292348</v>
      </c>
      <c r="H119" s="19">
        <f>Investment_Master!Q119/5</f>
        <v>7642317.837292348</v>
      </c>
      <c r="I119" s="19">
        <f>Investment_Master!Q119/5</f>
        <v>7642317.837292348</v>
      </c>
      <c r="J119" s="19">
        <f>Investment_Master!Q119/5</f>
        <v>7642317.837292348</v>
      </c>
      <c r="K119" s="19">
        <f t="shared" si="10"/>
        <v>-4189602.6547779925</v>
      </c>
      <c r="L119" s="20">
        <f t="shared" si="11"/>
        <v>4.9205834196559994E-2</v>
      </c>
      <c r="M119" s="21">
        <f>Investment_Master!V119</f>
        <v>4.3389977629808305</v>
      </c>
    </row>
    <row r="120" spans="1:13" ht="15" customHeight="1" x14ac:dyDescent="0.25">
      <c r="A120" s="17" t="str">
        <f>Investment_Master!A120</f>
        <v>INV-116</v>
      </c>
      <c r="B120" s="17" t="str">
        <f>Investment_Master!B120</f>
        <v>Tier-2 City Expansion – Central</v>
      </c>
      <c r="C120" s="19">
        <f>Investment_Master!J120</f>
        <v>38380000</v>
      </c>
      <c r="D120" s="20">
        <f>Investment_Master!Y120</f>
        <v>0.09</v>
      </c>
      <c r="E120" s="19">
        <f t="shared" si="9"/>
        <v>-38380000</v>
      </c>
      <c r="F120" s="19">
        <f>Investment_Master!Q120/5</f>
        <v>8661217.4256702922</v>
      </c>
      <c r="G120" s="19">
        <f>Investment_Master!Q120/5</f>
        <v>8661217.4256702922</v>
      </c>
      <c r="H120" s="19">
        <f>Investment_Master!Q120/5</f>
        <v>8661217.4256702922</v>
      </c>
      <c r="I120" s="19">
        <f>Investment_Master!Q120/5</f>
        <v>8661217.4256702922</v>
      </c>
      <c r="J120" s="19">
        <f>Investment_Master!Q120/5</f>
        <v>8661217.4256702922</v>
      </c>
      <c r="K120" s="19">
        <f t="shared" si="10"/>
        <v>-4690884.6980776489</v>
      </c>
      <c r="L120" s="20">
        <f t="shared" si="11"/>
        <v>4.1651163749573783E-2</v>
      </c>
      <c r="M120" s="21">
        <f>Investment_Master!V120</f>
        <v>4.4312477234722891</v>
      </c>
    </row>
    <row r="121" spans="1:13" ht="15" customHeight="1" x14ac:dyDescent="0.25">
      <c r="A121" s="17" t="str">
        <f>Investment_Master!A121</f>
        <v>INV-117</v>
      </c>
      <c r="B121" s="17" t="str">
        <f>Investment_Master!B121</f>
        <v>Automated Packaging Line – South</v>
      </c>
      <c r="C121" s="19">
        <f>Investment_Master!J121</f>
        <v>24650000</v>
      </c>
      <c r="D121" s="20">
        <f>Investment_Master!Y121</f>
        <v>0.1</v>
      </c>
      <c r="E121" s="19">
        <f t="shared" si="9"/>
        <v>-24650000</v>
      </c>
      <c r="F121" s="19">
        <f>Investment_Master!Q121/5</f>
        <v>5918336.0622653542</v>
      </c>
      <c r="G121" s="19">
        <f>Investment_Master!Q121/5</f>
        <v>5918336.0622653542</v>
      </c>
      <c r="H121" s="19">
        <f>Investment_Master!Q121/5</f>
        <v>5918336.0622653542</v>
      </c>
      <c r="I121" s="19">
        <f>Investment_Master!Q121/5</f>
        <v>5918336.0622653542</v>
      </c>
      <c r="J121" s="19">
        <f>Investment_Master!Q121/5</f>
        <v>5918336.0622653542</v>
      </c>
      <c r="K121" s="19">
        <f t="shared" si="10"/>
        <v>-2214849.9582516067</v>
      </c>
      <c r="L121" s="20">
        <f t="shared" si="11"/>
        <v>6.416848021952104E-2</v>
      </c>
      <c r="M121" s="21">
        <f>Investment_Master!V121</f>
        <v>4.1650220164356044</v>
      </c>
    </row>
    <row r="122" spans="1:13" ht="15" customHeight="1" x14ac:dyDescent="0.25">
      <c r="A122" s="17" t="str">
        <f>Investment_Master!A122</f>
        <v>INV-118</v>
      </c>
      <c r="B122" s="17" t="str">
        <f>Investment_Master!B122</f>
        <v>RPA Finance Rollout – West</v>
      </c>
      <c r="C122" s="19">
        <f>Investment_Master!J122</f>
        <v>24120000</v>
      </c>
      <c r="D122" s="20">
        <f>Investment_Master!Y122</f>
        <v>0.11</v>
      </c>
      <c r="E122" s="19">
        <f t="shared" si="9"/>
        <v>-24120000</v>
      </c>
      <c r="F122" s="19">
        <f>Investment_Master!Q122/5</f>
        <v>5828757.1173196137</v>
      </c>
      <c r="G122" s="19">
        <f>Investment_Master!Q122/5</f>
        <v>5828757.1173196137</v>
      </c>
      <c r="H122" s="19">
        <f>Investment_Master!Q122/5</f>
        <v>5828757.1173196137</v>
      </c>
      <c r="I122" s="19">
        <f>Investment_Master!Q122/5</f>
        <v>5828757.1173196137</v>
      </c>
      <c r="J122" s="19">
        <f>Investment_Master!Q122/5</f>
        <v>5828757.1173196137</v>
      </c>
      <c r="K122" s="19">
        <f t="shared" si="10"/>
        <v>-2577513.9534953497</v>
      </c>
      <c r="L122" s="20">
        <f t="shared" si="11"/>
        <v>6.6572397276029927E-2</v>
      </c>
      <c r="M122" s="21">
        <f>Investment_Master!V122</f>
        <v>4.1381034609127303</v>
      </c>
    </row>
    <row r="123" spans="1:13" ht="15" customHeight="1" x14ac:dyDescent="0.25">
      <c r="A123" s="17" t="str">
        <f>Investment_Master!A123</f>
        <v>INV-119</v>
      </c>
      <c r="B123" s="17" t="str">
        <f>Investment_Master!B123</f>
        <v>Leadership Development – North</v>
      </c>
      <c r="C123" s="19">
        <f>Investment_Master!J123</f>
        <v>6210000</v>
      </c>
      <c r="D123" s="20">
        <f>Investment_Master!Y123</f>
        <v>0.12</v>
      </c>
      <c r="E123" s="19">
        <f t="shared" si="9"/>
        <v>-6210000</v>
      </c>
      <c r="F123" s="19">
        <f>Investment_Master!Q123/5</f>
        <v>1142650.8601067374</v>
      </c>
      <c r="G123" s="19">
        <f>Investment_Master!Q123/5</f>
        <v>1142650.8601067374</v>
      </c>
      <c r="H123" s="19">
        <f>Investment_Master!Q123/5</f>
        <v>1142650.8601067374</v>
      </c>
      <c r="I123" s="19">
        <f>Investment_Master!Q123/5</f>
        <v>1142650.8601067374</v>
      </c>
      <c r="J123" s="19">
        <f>Investment_Master!Q123/5</f>
        <v>1142650.8601067374</v>
      </c>
      <c r="K123" s="19">
        <f t="shared" si="10"/>
        <v>-2090999.3718981831</v>
      </c>
      <c r="L123" s="20">
        <f t="shared" si="11"/>
        <v>-2.7162250223241924E-2</v>
      </c>
      <c r="M123" s="21">
        <f>Investment_Master!V123</f>
        <v>5.4347309548429443</v>
      </c>
    </row>
    <row r="124" spans="1:13" ht="15" customHeight="1" x14ac:dyDescent="0.25">
      <c r="A124" s="17" t="str">
        <f>Investment_Master!A124</f>
        <v>INV-120</v>
      </c>
      <c r="B124" s="17" t="str">
        <f>Investment_Master!B124</f>
        <v>Plant Utility Upgrade – East</v>
      </c>
      <c r="C124" s="19">
        <f>Investment_Master!J124</f>
        <v>33840000</v>
      </c>
      <c r="D124" s="20">
        <f>Investment_Master!Y124</f>
        <v>0.1</v>
      </c>
      <c r="E124" s="19">
        <f t="shared" si="9"/>
        <v>-33840000</v>
      </c>
      <c r="F124" s="19">
        <f>Investment_Master!Q124/5</f>
        <v>7196075.1252013538</v>
      </c>
      <c r="G124" s="19">
        <f>Investment_Master!Q124/5</f>
        <v>7196075.1252013538</v>
      </c>
      <c r="H124" s="19">
        <f>Investment_Master!Q124/5</f>
        <v>7196075.1252013538</v>
      </c>
      <c r="I124" s="19">
        <f>Investment_Master!Q124/5</f>
        <v>7196075.1252013538</v>
      </c>
      <c r="J124" s="19">
        <f>Investment_Master!Q124/5</f>
        <v>7196075.1252013538</v>
      </c>
      <c r="K124" s="19">
        <f t="shared" si="10"/>
        <v>-6561213.623717472</v>
      </c>
      <c r="L124" s="20">
        <f t="shared" si="11"/>
        <v>2.0797931149269866E-2</v>
      </c>
      <c r="M124" s="21">
        <f>Investment_Master!V124</f>
        <v>4.702563468450883</v>
      </c>
    </row>
    <row r="125" spans="1:13" ht="15" customHeight="1" x14ac:dyDescent="0.25">
      <c r="A125" s="17" t="str">
        <f>Investment_Master!A125</f>
        <v>INV-121</v>
      </c>
      <c r="B125" s="17" t="str">
        <f>Investment_Master!B125</f>
        <v>ERP Cloud Migration – Central</v>
      </c>
      <c r="C125" s="19">
        <f>Investment_Master!J125</f>
        <v>28430000</v>
      </c>
      <c r="D125" s="20">
        <f>Investment_Master!Y125</f>
        <v>0.1</v>
      </c>
      <c r="E125" s="19">
        <f t="shared" si="9"/>
        <v>-28430000</v>
      </c>
      <c r="F125" s="19">
        <f>Investment_Master!Q125/5</f>
        <v>6515568.8752858881</v>
      </c>
      <c r="G125" s="19">
        <f>Investment_Master!Q125/5</f>
        <v>6515568.8752858881</v>
      </c>
      <c r="H125" s="19">
        <f>Investment_Master!Q125/5</f>
        <v>6515568.8752858881</v>
      </c>
      <c r="I125" s="19">
        <f>Investment_Master!Q125/5</f>
        <v>6515568.8752858881</v>
      </c>
      <c r="J125" s="19">
        <f>Investment_Master!Q125/5</f>
        <v>6515568.8752858881</v>
      </c>
      <c r="K125" s="19">
        <f t="shared" si="10"/>
        <v>-3730867.7123967782</v>
      </c>
      <c r="L125" s="20">
        <f t="shared" si="11"/>
        <v>4.7183352703328518E-2</v>
      </c>
      <c r="M125" s="21">
        <f>Investment_Master!V125</f>
        <v>4.3633948998432706</v>
      </c>
    </row>
    <row r="126" spans="1:13" ht="15" customHeight="1" x14ac:dyDescent="0.25">
      <c r="A126" s="17" t="str">
        <f>Investment_Master!A126</f>
        <v>INV-122</v>
      </c>
      <c r="B126" s="17" t="str">
        <f>Investment_Master!B126</f>
        <v>Brand Repositioning – South</v>
      </c>
      <c r="C126" s="19">
        <f>Investment_Master!J126</f>
        <v>13420000</v>
      </c>
      <c r="D126" s="20">
        <f>Investment_Master!Y126</f>
        <v>0.11</v>
      </c>
      <c r="E126" s="19">
        <f t="shared" si="9"/>
        <v>-13420000</v>
      </c>
      <c r="F126" s="19">
        <f>Investment_Master!Q126/5</f>
        <v>3280597.329739762</v>
      </c>
      <c r="G126" s="19">
        <f>Investment_Master!Q126/5</f>
        <v>3280597.329739762</v>
      </c>
      <c r="H126" s="19">
        <f>Investment_Master!Q126/5</f>
        <v>3280597.329739762</v>
      </c>
      <c r="I126" s="19">
        <f>Investment_Master!Q126/5</f>
        <v>3280597.329739762</v>
      </c>
      <c r="J126" s="19">
        <f>Investment_Master!Q126/5</f>
        <v>3280597.329739762</v>
      </c>
      <c r="K126" s="19">
        <f t="shared" si="10"/>
        <v>-1295250.1129060164</v>
      </c>
      <c r="L126" s="20">
        <f t="shared" si="11"/>
        <v>7.0865015478487559E-2</v>
      </c>
      <c r="M126" s="21">
        <f>Investment_Master!V126</f>
        <v>4.0907184427491323</v>
      </c>
    </row>
    <row r="127" spans="1:13" ht="15" customHeight="1" x14ac:dyDescent="0.25">
      <c r="A127" s="17" t="str">
        <f>Investment_Master!A127</f>
        <v>INV-123</v>
      </c>
      <c r="B127" s="17" t="str">
        <f>Investment_Master!B127</f>
        <v>Premium Product Line – West</v>
      </c>
      <c r="C127" s="19">
        <f>Investment_Master!J127</f>
        <v>39910000</v>
      </c>
      <c r="D127" s="20">
        <f>Investment_Master!Y127</f>
        <v>0.11</v>
      </c>
      <c r="E127" s="19">
        <f t="shared" si="9"/>
        <v>-39910000</v>
      </c>
      <c r="F127" s="19">
        <f>Investment_Master!Q127/5</f>
        <v>8333058.5646356596</v>
      </c>
      <c r="G127" s="19">
        <f>Investment_Master!Q127/5</f>
        <v>8333058.5646356596</v>
      </c>
      <c r="H127" s="19">
        <f>Investment_Master!Q127/5</f>
        <v>8333058.5646356596</v>
      </c>
      <c r="I127" s="19">
        <f>Investment_Master!Q127/5</f>
        <v>8333058.5646356596</v>
      </c>
      <c r="J127" s="19">
        <f>Investment_Master!Q127/5</f>
        <v>8333058.5646356596</v>
      </c>
      <c r="K127" s="19">
        <f t="shared" si="10"/>
        <v>-9111873.7030647397</v>
      </c>
      <c r="L127" s="20">
        <f t="shared" si="11"/>
        <v>1.4520878933508952E-2</v>
      </c>
      <c r="M127" s="21">
        <f>Investment_Master!V127</f>
        <v>4.7893579158764688</v>
      </c>
    </row>
    <row r="128" spans="1:13" ht="15" customHeight="1" x14ac:dyDescent="0.25">
      <c r="A128" s="17" t="str">
        <f>Investment_Master!A128</f>
        <v>INV-124</v>
      </c>
      <c r="B128" s="17" t="str">
        <f>Investment_Master!B128</f>
        <v>Tier-2 City Expansion – North</v>
      </c>
      <c r="C128" s="19">
        <f>Investment_Master!J128</f>
        <v>54680000</v>
      </c>
      <c r="D128" s="20">
        <f>Investment_Master!Y128</f>
        <v>0.09</v>
      </c>
      <c r="E128" s="19">
        <f t="shared" si="9"/>
        <v>-54680000</v>
      </c>
      <c r="F128" s="19">
        <f>Investment_Master!Q128/5</f>
        <v>11956066.252163019</v>
      </c>
      <c r="G128" s="19">
        <f>Investment_Master!Q128/5</f>
        <v>11956066.252163019</v>
      </c>
      <c r="H128" s="19">
        <f>Investment_Master!Q128/5</f>
        <v>11956066.252163019</v>
      </c>
      <c r="I128" s="19">
        <f>Investment_Master!Q128/5</f>
        <v>11956066.252163019</v>
      </c>
      <c r="J128" s="19">
        <f>Investment_Master!Q128/5</f>
        <v>11956066.252163019</v>
      </c>
      <c r="K128" s="19">
        <f t="shared" si="10"/>
        <v>-8175071.7975572944</v>
      </c>
      <c r="L128" s="20">
        <f t="shared" si="11"/>
        <v>3.0482052001857829E-2</v>
      </c>
      <c r="M128" s="21">
        <f>Investment_Master!V128</f>
        <v>4.5734105889642107</v>
      </c>
    </row>
    <row r="129" spans="1:13" ht="15" customHeight="1" x14ac:dyDescent="0.25">
      <c r="A129" s="17" t="str">
        <f>Investment_Master!A129</f>
        <v>INV-125</v>
      </c>
      <c r="B129" s="17" t="str">
        <f>Investment_Master!B129</f>
        <v>Automated Packaging Line – East</v>
      </c>
      <c r="C129" s="19">
        <f>Investment_Master!J129</f>
        <v>20260000</v>
      </c>
      <c r="D129" s="20">
        <f>Investment_Master!Y129</f>
        <v>0.12</v>
      </c>
      <c r="E129" s="19">
        <f t="shared" si="9"/>
        <v>-20260000</v>
      </c>
      <c r="F129" s="19">
        <f>Investment_Master!Q129/5</f>
        <v>4839623.4038513247</v>
      </c>
      <c r="G129" s="19">
        <f>Investment_Master!Q129/5</f>
        <v>4839623.4038513247</v>
      </c>
      <c r="H129" s="19">
        <f>Investment_Master!Q129/5</f>
        <v>4839623.4038513247</v>
      </c>
      <c r="I129" s="19">
        <f>Investment_Master!Q129/5</f>
        <v>4839623.4038513247</v>
      </c>
      <c r="J129" s="19">
        <f>Investment_Master!Q129/5</f>
        <v>4839623.4038513247</v>
      </c>
      <c r="K129" s="19">
        <f t="shared" si="10"/>
        <v>-2814240.7254848182</v>
      </c>
      <c r="L129" s="20">
        <f t="shared" si="11"/>
        <v>6.2287782274225822E-2</v>
      </c>
      <c r="M129" s="21">
        <f>Investment_Master!V129</f>
        <v>4.18627614369277</v>
      </c>
    </row>
    <row r="130" spans="1:13" ht="15" customHeight="1" x14ac:dyDescent="0.25">
      <c r="A130" s="17" t="str">
        <f>Investment_Master!A130</f>
        <v>INV-126</v>
      </c>
      <c r="B130" s="17" t="str">
        <f>Investment_Master!B130</f>
        <v>RPA Finance Rollout – Central</v>
      </c>
      <c r="C130" s="19">
        <f>Investment_Master!J130</f>
        <v>25020000</v>
      </c>
      <c r="D130" s="20">
        <f>Investment_Master!Y130</f>
        <v>0.11</v>
      </c>
      <c r="E130" s="19">
        <f t="shared" si="9"/>
        <v>-25020000</v>
      </c>
      <c r="F130" s="19">
        <f>Investment_Master!Q130/5</f>
        <v>5564759.3119094083</v>
      </c>
      <c r="G130" s="19">
        <f>Investment_Master!Q130/5</f>
        <v>5564759.3119094083</v>
      </c>
      <c r="H130" s="19">
        <f>Investment_Master!Q130/5</f>
        <v>5564759.3119094083</v>
      </c>
      <c r="I130" s="19">
        <f>Investment_Master!Q130/5</f>
        <v>5564759.3119094083</v>
      </c>
      <c r="J130" s="19">
        <f>Investment_Master!Q130/5</f>
        <v>5564759.3119094083</v>
      </c>
      <c r="K130" s="19">
        <f t="shared" si="10"/>
        <v>-4453222.6551769339</v>
      </c>
      <c r="L130" s="20">
        <f t="shared" si="11"/>
        <v>3.6483018227810637E-2</v>
      </c>
      <c r="M130" s="21">
        <f>Investment_Master!V130</f>
        <v>4.4961513333476075</v>
      </c>
    </row>
    <row r="131" spans="1:13" ht="15" customHeight="1" x14ac:dyDescent="0.25">
      <c r="A131" s="17" t="str">
        <f>Investment_Master!A131</f>
        <v>INV-127</v>
      </c>
      <c r="B131" s="17" t="str">
        <f>Investment_Master!B131</f>
        <v>Leadership Development – South</v>
      </c>
      <c r="C131" s="19">
        <f>Investment_Master!J131</f>
        <v>10260000</v>
      </c>
      <c r="D131" s="20">
        <f>Investment_Master!Y131</f>
        <v>0.11</v>
      </c>
      <c r="E131" s="19">
        <f t="shared" si="9"/>
        <v>-10260000</v>
      </c>
      <c r="F131" s="19">
        <f>Investment_Master!Q131/5</f>
        <v>2017585.1160952977</v>
      </c>
      <c r="G131" s="19">
        <f>Investment_Master!Q131/5</f>
        <v>2017585.1160952977</v>
      </c>
      <c r="H131" s="19">
        <f>Investment_Master!Q131/5</f>
        <v>2017585.1160952977</v>
      </c>
      <c r="I131" s="19">
        <f>Investment_Master!Q131/5</f>
        <v>2017585.1160952977</v>
      </c>
      <c r="J131" s="19">
        <f>Investment_Master!Q131/5</f>
        <v>2017585.1160952977</v>
      </c>
      <c r="K131" s="19">
        <f t="shared" si="10"/>
        <v>-2803213.1865694402</v>
      </c>
      <c r="L131" s="20">
        <f t="shared" si="11"/>
        <v>-5.6115135284229289E-3</v>
      </c>
      <c r="M131" s="21">
        <f>Investment_Master!V131</f>
        <v>5.0852873160843561</v>
      </c>
    </row>
    <row r="132" spans="1:13" ht="15" customHeight="1" x14ac:dyDescent="0.25">
      <c r="A132" s="17" t="str">
        <f>Investment_Master!A132</f>
        <v>INV-128</v>
      </c>
      <c r="B132" s="17" t="str">
        <f>Investment_Master!B132</f>
        <v>Plant Utility Upgrade – West</v>
      </c>
      <c r="C132" s="19">
        <f>Investment_Master!J132</f>
        <v>41160000</v>
      </c>
      <c r="D132" s="20">
        <f>Investment_Master!Y132</f>
        <v>0.12</v>
      </c>
      <c r="E132" s="19">
        <f t="shared" si="9"/>
        <v>-41160000</v>
      </c>
      <c r="F132" s="19">
        <f>Investment_Master!Q132/5</f>
        <v>8653253.7550188862</v>
      </c>
      <c r="G132" s="19">
        <f>Investment_Master!Q132/5</f>
        <v>8653253.7550188862</v>
      </c>
      <c r="H132" s="19">
        <f>Investment_Master!Q132/5</f>
        <v>8653253.7550188862</v>
      </c>
      <c r="I132" s="19">
        <f>Investment_Master!Q132/5</f>
        <v>8653253.7550188862</v>
      </c>
      <c r="J132" s="19">
        <f>Investment_Master!Q132/5</f>
        <v>8653253.7550188862</v>
      </c>
      <c r="K132" s="19">
        <f t="shared" si="10"/>
        <v>-9966956.7910553701</v>
      </c>
      <c r="L132" s="20">
        <f t="shared" si="11"/>
        <v>1.6869456481582779E-2</v>
      </c>
      <c r="M132" s="21">
        <f>Investment_Master!V132</f>
        <v>4.7565922790750479</v>
      </c>
    </row>
    <row r="133" spans="1:13" ht="15" customHeight="1" x14ac:dyDescent="0.25">
      <c r="A133" s="17" t="str">
        <f>Investment_Master!A133</f>
        <v>INV-129</v>
      </c>
      <c r="B133" s="17" t="str">
        <f>Investment_Master!B133</f>
        <v>ERP Cloud Migration – North</v>
      </c>
      <c r="C133" s="19">
        <f>Investment_Master!J133</f>
        <v>12250000</v>
      </c>
      <c r="D133" s="20">
        <f>Investment_Master!Y133</f>
        <v>0.11</v>
      </c>
      <c r="E133" s="19">
        <f t="shared" ref="E133:E154" si="12">-C133</f>
        <v>-12250000</v>
      </c>
      <c r="F133" s="19">
        <f>Investment_Master!Q133/5</f>
        <v>3045535.4124833625</v>
      </c>
      <c r="G133" s="19">
        <f>Investment_Master!Q133/5</f>
        <v>3045535.4124833625</v>
      </c>
      <c r="H133" s="19">
        <f>Investment_Master!Q133/5</f>
        <v>3045535.4124833625</v>
      </c>
      <c r="I133" s="19">
        <f>Investment_Master!Q133/5</f>
        <v>3045535.4124833625</v>
      </c>
      <c r="J133" s="19">
        <f>Investment_Master!Q133/5</f>
        <v>3045535.4124833625</v>
      </c>
      <c r="K133" s="19">
        <f t="shared" ref="K133:K164" si="13">NPV(D133,F133:J133)+E133</f>
        <v>-994014.75185691006</v>
      </c>
      <c r="L133" s="20">
        <f t="shared" ref="L133:L154" si="14">IFERROR(IRR(E133:J133),0)</f>
        <v>7.7206422640301975E-2</v>
      </c>
      <c r="M133" s="21">
        <f>Investment_Master!V133</f>
        <v>4.0222812546484947</v>
      </c>
    </row>
    <row r="134" spans="1:13" ht="15" customHeight="1" x14ac:dyDescent="0.25">
      <c r="A134" s="17" t="str">
        <f>Investment_Master!A134</f>
        <v>INV-130</v>
      </c>
      <c r="B134" s="17" t="str">
        <f>Investment_Master!B134</f>
        <v>Brand Repositioning – East</v>
      </c>
      <c r="C134" s="19">
        <f>Investment_Master!J134</f>
        <v>16720000</v>
      </c>
      <c r="D134" s="20">
        <f>Investment_Master!Y134</f>
        <v>0.1</v>
      </c>
      <c r="E134" s="19">
        <f t="shared" si="12"/>
        <v>-16720000</v>
      </c>
      <c r="F134" s="19">
        <f>Investment_Master!Q134/5</f>
        <v>4302911.2393409079</v>
      </c>
      <c r="G134" s="19">
        <f>Investment_Master!Q134/5</f>
        <v>4302911.2393409079</v>
      </c>
      <c r="H134" s="19">
        <f>Investment_Master!Q134/5</f>
        <v>4302911.2393409079</v>
      </c>
      <c r="I134" s="19">
        <f>Investment_Master!Q134/5</f>
        <v>4302911.2393409079</v>
      </c>
      <c r="J134" s="19">
        <f>Investment_Master!Q134/5</f>
        <v>4302911.2393409079</v>
      </c>
      <c r="K134" s="19">
        <f t="shared" si="13"/>
        <v>-408581.00396758318</v>
      </c>
      <c r="L134" s="20">
        <f t="shared" si="14"/>
        <v>9.0387727258110395E-2</v>
      </c>
      <c r="M134" s="21">
        <f>Investment_Master!V134</f>
        <v>3.8857413202325461</v>
      </c>
    </row>
    <row r="135" spans="1:13" ht="15" customHeight="1" x14ac:dyDescent="0.25">
      <c r="A135" s="17" t="str">
        <f>Investment_Master!A135</f>
        <v>INV-131</v>
      </c>
      <c r="B135" s="17" t="str">
        <f>Investment_Master!B135</f>
        <v>Premium Product Line – Central</v>
      </c>
      <c r="C135" s="19">
        <f>Investment_Master!J135</f>
        <v>32900000</v>
      </c>
      <c r="D135" s="20">
        <f>Investment_Master!Y135</f>
        <v>0.11</v>
      </c>
      <c r="E135" s="19">
        <f t="shared" si="12"/>
        <v>-32900000</v>
      </c>
      <c r="F135" s="19">
        <f>Investment_Master!Q135/5</f>
        <v>6671074.0260902299</v>
      </c>
      <c r="G135" s="19">
        <f>Investment_Master!Q135/5</f>
        <v>6671074.0260902299</v>
      </c>
      <c r="H135" s="19">
        <f>Investment_Master!Q135/5</f>
        <v>6671074.0260902299</v>
      </c>
      <c r="I135" s="19">
        <f>Investment_Master!Q135/5</f>
        <v>6671074.0260902299</v>
      </c>
      <c r="J135" s="19">
        <f>Investment_Master!Q135/5</f>
        <v>6671074.0260902299</v>
      </c>
      <c r="K135" s="19">
        <f t="shared" si="13"/>
        <v>-8244397.4024543129</v>
      </c>
      <c r="L135" s="20">
        <f t="shared" si="14"/>
        <v>4.5996073410998761E-3</v>
      </c>
      <c r="M135" s="21">
        <f>Investment_Master!V135</f>
        <v>4.931739607644853</v>
      </c>
    </row>
    <row r="136" spans="1:13" ht="15" customHeight="1" x14ac:dyDescent="0.25">
      <c r="A136" s="17" t="str">
        <f>Investment_Master!A136</f>
        <v>INV-132</v>
      </c>
      <c r="B136" s="17" t="str">
        <f>Investment_Master!B136</f>
        <v>Tier-2 City Expansion – South</v>
      </c>
      <c r="C136" s="19">
        <f>Investment_Master!J136</f>
        <v>27850000</v>
      </c>
      <c r="D136" s="20">
        <f>Investment_Master!Y136</f>
        <v>0.09</v>
      </c>
      <c r="E136" s="19">
        <f t="shared" si="12"/>
        <v>-27850000</v>
      </c>
      <c r="F136" s="19">
        <f>Investment_Master!Q136/5</f>
        <v>6489828.3556718845</v>
      </c>
      <c r="G136" s="19">
        <f>Investment_Master!Q136/5</f>
        <v>6489828.3556718845</v>
      </c>
      <c r="H136" s="19">
        <f>Investment_Master!Q136/5</f>
        <v>6489828.3556718845</v>
      </c>
      <c r="I136" s="19">
        <f>Investment_Master!Q136/5</f>
        <v>6489828.3556718845</v>
      </c>
      <c r="J136" s="19">
        <f>Investment_Master!Q136/5</f>
        <v>6489828.3556718845</v>
      </c>
      <c r="K136" s="19">
        <f t="shared" si="13"/>
        <v>-2606830.9374250621</v>
      </c>
      <c r="L136" s="20">
        <f t="shared" si="14"/>
        <v>5.3209707200904788E-2</v>
      </c>
      <c r="M136" s="21">
        <f>Investment_Master!V136</f>
        <v>4.2913307523241455</v>
      </c>
    </row>
    <row r="137" spans="1:13" ht="15" customHeight="1" x14ac:dyDescent="0.25">
      <c r="A137" s="17" t="str">
        <f>Investment_Master!A137</f>
        <v>INV-133</v>
      </c>
      <c r="B137" s="17" t="str">
        <f>Investment_Master!B137</f>
        <v>Automated Packaging Line – West</v>
      </c>
      <c r="C137" s="19">
        <f>Investment_Master!J137</f>
        <v>18280000</v>
      </c>
      <c r="D137" s="20">
        <f>Investment_Master!Y137</f>
        <v>0.1</v>
      </c>
      <c r="E137" s="19">
        <f t="shared" si="12"/>
        <v>-18280000</v>
      </c>
      <c r="F137" s="19">
        <f>Investment_Master!Q137/5</f>
        <v>4326862.7888173098</v>
      </c>
      <c r="G137" s="19">
        <f>Investment_Master!Q137/5</f>
        <v>4326862.7888173098</v>
      </c>
      <c r="H137" s="19">
        <f>Investment_Master!Q137/5</f>
        <v>4326862.7888173098</v>
      </c>
      <c r="I137" s="19">
        <f>Investment_Master!Q137/5</f>
        <v>4326862.7888173098</v>
      </c>
      <c r="J137" s="19">
        <f>Investment_Master!Q137/5</f>
        <v>4326862.7888173098</v>
      </c>
      <c r="K137" s="19">
        <f t="shared" si="13"/>
        <v>-1877785.787105605</v>
      </c>
      <c r="L137" s="20">
        <f t="shared" si="14"/>
        <v>5.8919896332005006E-2</v>
      </c>
      <c r="M137" s="21">
        <f>Investment_Master!V137</f>
        <v>4.2247699758920696</v>
      </c>
    </row>
    <row r="138" spans="1:13" ht="15" customHeight="1" x14ac:dyDescent="0.25">
      <c r="A138" s="17" t="str">
        <f>Investment_Master!A138</f>
        <v>INV-134</v>
      </c>
      <c r="B138" s="17" t="str">
        <f>Investment_Master!B138</f>
        <v>RPA Finance Rollout – North</v>
      </c>
      <c r="C138" s="19">
        <f>Investment_Master!J138</f>
        <v>12530000</v>
      </c>
      <c r="D138" s="20">
        <f>Investment_Master!Y138</f>
        <v>0.12</v>
      </c>
      <c r="E138" s="19">
        <f t="shared" si="12"/>
        <v>-12530000</v>
      </c>
      <c r="F138" s="19">
        <f>Investment_Master!Q138/5</f>
        <v>2958292.2456732281</v>
      </c>
      <c r="G138" s="19">
        <f>Investment_Master!Q138/5</f>
        <v>2958292.2456732281</v>
      </c>
      <c r="H138" s="19">
        <f>Investment_Master!Q138/5</f>
        <v>2958292.2456732281</v>
      </c>
      <c r="I138" s="19">
        <f>Investment_Master!Q138/5</f>
        <v>2958292.2456732281</v>
      </c>
      <c r="J138" s="19">
        <f>Investment_Master!Q138/5</f>
        <v>2958292.2456732281</v>
      </c>
      <c r="K138" s="19">
        <f t="shared" si="13"/>
        <v>-1866018.5132153854</v>
      </c>
      <c r="L138" s="20">
        <f t="shared" si="14"/>
        <v>5.7985290778736376E-2</v>
      </c>
      <c r="M138" s="21">
        <f>Investment_Master!V138</f>
        <v>4.2355517844209833</v>
      </c>
    </row>
    <row r="139" spans="1:13" ht="15" customHeight="1" x14ac:dyDescent="0.25">
      <c r="A139" s="17" t="str">
        <f>Investment_Master!A139</f>
        <v>INV-135</v>
      </c>
      <c r="B139" s="17" t="str">
        <f>Investment_Master!B139</f>
        <v>Leadership Development – East</v>
      </c>
      <c r="C139" s="19">
        <f>Investment_Master!J139</f>
        <v>3300000</v>
      </c>
      <c r="D139" s="20">
        <f>Investment_Master!Y139</f>
        <v>0.11</v>
      </c>
      <c r="E139" s="19">
        <f t="shared" si="12"/>
        <v>-3300000</v>
      </c>
      <c r="F139" s="19">
        <f>Investment_Master!Q139/5</f>
        <v>631222.16011975543</v>
      </c>
      <c r="G139" s="19">
        <f>Investment_Master!Q139/5</f>
        <v>631222.16011975543</v>
      </c>
      <c r="H139" s="19">
        <f>Investment_Master!Q139/5</f>
        <v>631222.16011975543</v>
      </c>
      <c r="I139" s="19">
        <f>Investment_Master!Q139/5</f>
        <v>631222.16011975543</v>
      </c>
      <c r="J139" s="19">
        <f>Investment_Master!Q139/5</f>
        <v>631222.16011975543</v>
      </c>
      <c r="K139" s="19">
        <f t="shared" si="13"/>
        <v>-967067.9009391428</v>
      </c>
      <c r="L139" s="20">
        <f t="shared" si="14"/>
        <v>-1.4678961529182466E-2</v>
      </c>
      <c r="M139" s="21">
        <f>Investment_Master!V139</f>
        <v>5.2279533395562732</v>
      </c>
    </row>
    <row r="140" spans="1:13" ht="15" customHeight="1" x14ac:dyDescent="0.25">
      <c r="A140" s="17" t="str">
        <f>Investment_Master!A140</f>
        <v>INV-136</v>
      </c>
      <c r="B140" s="17" t="str">
        <f>Investment_Master!B140</f>
        <v>Plant Utility Upgrade – Central</v>
      </c>
      <c r="C140" s="19">
        <f>Investment_Master!J140</f>
        <v>40580000</v>
      </c>
      <c r="D140" s="20">
        <f>Investment_Master!Y140</f>
        <v>0.1</v>
      </c>
      <c r="E140" s="19">
        <f t="shared" si="12"/>
        <v>-40580000</v>
      </c>
      <c r="F140" s="19">
        <f>Investment_Master!Q140/5</f>
        <v>8635556.1888547279</v>
      </c>
      <c r="G140" s="19">
        <f>Investment_Master!Q140/5</f>
        <v>8635556.1888547279</v>
      </c>
      <c r="H140" s="19">
        <f>Investment_Master!Q140/5</f>
        <v>8635556.1888547279</v>
      </c>
      <c r="I140" s="19">
        <f>Investment_Master!Q140/5</f>
        <v>8635556.1888547279</v>
      </c>
      <c r="J140" s="19">
        <f>Investment_Master!Q140/5</f>
        <v>8635556.1888547279</v>
      </c>
      <c r="K140" s="19">
        <f t="shared" si="13"/>
        <v>-7844447.8528062627</v>
      </c>
      <c r="L140" s="20">
        <f t="shared" si="14"/>
        <v>2.1046576474892831E-2</v>
      </c>
      <c r="M140" s="21">
        <f>Investment_Master!V140</f>
        <v>4.699176186517505</v>
      </c>
    </row>
    <row r="141" spans="1:13" ht="15" customHeight="1" x14ac:dyDescent="0.25">
      <c r="A141" s="17" t="str">
        <f>Investment_Master!A141</f>
        <v>INV-137</v>
      </c>
      <c r="B141" s="17" t="str">
        <f>Investment_Master!B141</f>
        <v>ERP Cloud Migration – South</v>
      </c>
      <c r="C141" s="19">
        <f>Investment_Master!J141</f>
        <v>11500000</v>
      </c>
      <c r="D141" s="20">
        <f>Investment_Master!Y141</f>
        <v>0.12</v>
      </c>
      <c r="E141" s="19">
        <f t="shared" si="12"/>
        <v>-11500000</v>
      </c>
      <c r="F141" s="19">
        <f>Investment_Master!Q141/5</f>
        <v>2981440.8347609816</v>
      </c>
      <c r="G141" s="19">
        <f>Investment_Master!Q141/5</f>
        <v>2981440.8347609816</v>
      </c>
      <c r="H141" s="19">
        <f>Investment_Master!Q141/5</f>
        <v>2981440.8347609816</v>
      </c>
      <c r="I141" s="19">
        <f>Investment_Master!Q141/5</f>
        <v>2981440.8347609816</v>
      </c>
      <c r="J141" s="19">
        <f>Investment_Master!Q141/5</f>
        <v>2981440.8347609816</v>
      </c>
      <c r="K141" s="19">
        <f t="shared" si="13"/>
        <v>-752573.03015398979</v>
      </c>
      <c r="L141" s="20">
        <f t="shared" si="14"/>
        <v>9.3237519594656426E-2</v>
      </c>
      <c r="M141" s="21">
        <f>Investment_Master!V141</f>
        <v>3.8571954425256743</v>
      </c>
    </row>
    <row r="142" spans="1:13" ht="15" customHeight="1" x14ac:dyDescent="0.25">
      <c r="A142" s="17" t="str">
        <f>Investment_Master!A142</f>
        <v>INV-138</v>
      </c>
      <c r="B142" s="17" t="str">
        <f>Investment_Master!B142</f>
        <v>Brand Repositioning – West</v>
      </c>
      <c r="C142" s="19">
        <f>Investment_Master!J142</f>
        <v>15570000</v>
      </c>
      <c r="D142" s="20">
        <f>Investment_Master!Y142</f>
        <v>0.11</v>
      </c>
      <c r="E142" s="19">
        <f t="shared" si="12"/>
        <v>-15570000</v>
      </c>
      <c r="F142" s="19">
        <f>Investment_Master!Q142/5</f>
        <v>3606213.3530837595</v>
      </c>
      <c r="G142" s="19">
        <f>Investment_Master!Q142/5</f>
        <v>3606213.3530837595</v>
      </c>
      <c r="H142" s="19">
        <f>Investment_Master!Q142/5</f>
        <v>3606213.3530837595</v>
      </c>
      <c r="I142" s="19">
        <f>Investment_Master!Q142/5</f>
        <v>3606213.3530837595</v>
      </c>
      <c r="J142" s="19">
        <f>Investment_Master!Q142/5</f>
        <v>3606213.3530837595</v>
      </c>
      <c r="K142" s="19">
        <f t="shared" si="13"/>
        <v>-2241806.8233300578</v>
      </c>
      <c r="L142" s="20">
        <f t="shared" si="14"/>
        <v>5.0998873366667752E-2</v>
      </c>
      <c r="M142" s="21">
        <f>Investment_Master!V142</f>
        <v>4.3175482079244478</v>
      </c>
    </row>
    <row r="143" spans="1:13" ht="15" customHeight="1" x14ac:dyDescent="0.25">
      <c r="A143" s="17" t="str">
        <f>Investment_Master!A143</f>
        <v>INV-139</v>
      </c>
      <c r="B143" s="17" t="str">
        <f>Investment_Master!B143</f>
        <v>Premium Product Line – North</v>
      </c>
      <c r="C143" s="19">
        <f>Investment_Master!J143</f>
        <v>16640000</v>
      </c>
      <c r="D143" s="20">
        <f>Investment_Master!Y143</f>
        <v>0.1</v>
      </c>
      <c r="E143" s="19">
        <f t="shared" si="12"/>
        <v>-16640000</v>
      </c>
      <c r="F143" s="19">
        <f>Investment_Master!Q143/5</f>
        <v>3555017.5040208576</v>
      </c>
      <c r="G143" s="19">
        <f>Investment_Master!Q143/5</f>
        <v>3555017.5040208576</v>
      </c>
      <c r="H143" s="19">
        <f>Investment_Master!Q143/5</f>
        <v>3555017.5040208576</v>
      </c>
      <c r="I143" s="19">
        <f>Investment_Master!Q143/5</f>
        <v>3555017.5040208576</v>
      </c>
      <c r="J143" s="19">
        <f>Investment_Master!Q143/5</f>
        <v>3555017.5040208576</v>
      </c>
      <c r="K143" s="19">
        <f t="shared" si="13"/>
        <v>-3163686.6807422917</v>
      </c>
      <c r="L143" s="20">
        <f t="shared" si="14"/>
        <v>2.2407175795362999E-2</v>
      </c>
      <c r="M143" s="21">
        <f>Investment_Master!V143</f>
        <v>4.6807083175201072</v>
      </c>
    </row>
    <row r="144" spans="1:13" ht="15" customHeight="1" x14ac:dyDescent="0.25">
      <c r="A144" s="17" t="str">
        <f>Investment_Master!A144</f>
        <v>INV-140</v>
      </c>
      <c r="B144" s="17" t="str">
        <f>Investment_Master!B144</f>
        <v>Tier-2 City Expansion – East</v>
      </c>
      <c r="C144" s="19">
        <f>Investment_Master!J144</f>
        <v>65110000</v>
      </c>
      <c r="D144" s="20">
        <f>Investment_Master!Y144</f>
        <v>0.09</v>
      </c>
      <c r="E144" s="19">
        <f t="shared" si="12"/>
        <v>-65110000</v>
      </c>
      <c r="F144" s="19">
        <f>Investment_Master!Q144/5</f>
        <v>13593433.100090668</v>
      </c>
      <c r="G144" s="19">
        <f>Investment_Master!Q144/5</f>
        <v>13593433.100090668</v>
      </c>
      <c r="H144" s="19">
        <f>Investment_Master!Q144/5</f>
        <v>13593433.100090668</v>
      </c>
      <c r="I144" s="19">
        <f>Investment_Master!Q144/5</f>
        <v>13593433.100090668</v>
      </c>
      <c r="J144" s="19">
        <f>Investment_Master!Q144/5</f>
        <v>13593433.100090668</v>
      </c>
      <c r="K144" s="19">
        <f t="shared" si="13"/>
        <v>-12236285.768945299</v>
      </c>
      <c r="L144" s="20">
        <f t="shared" si="14"/>
        <v>1.448844984777975E-2</v>
      </c>
      <c r="M144" s="21">
        <f>Investment_Master!V144</f>
        <v>4.7898128103904609</v>
      </c>
    </row>
    <row r="145" spans="1:13" ht="15" customHeight="1" x14ac:dyDescent="0.25">
      <c r="A145" s="17" t="str">
        <f>Investment_Master!A145</f>
        <v>INV-141</v>
      </c>
      <c r="B145" s="17" t="str">
        <f>Investment_Master!B145</f>
        <v>Automated Packaging Line – Central</v>
      </c>
      <c r="C145" s="19">
        <f>Investment_Master!J145</f>
        <v>17330000</v>
      </c>
      <c r="D145" s="20">
        <f>Investment_Master!Y145</f>
        <v>0.1</v>
      </c>
      <c r="E145" s="19">
        <f t="shared" si="12"/>
        <v>-17330000</v>
      </c>
      <c r="F145" s="19">
        <f>Investment_Master!Q145/5</f>
        <v>3617918.6458916762</v>
      </c>
      <c r="G145" s="19">
        <f>Investment_Master!Q145/5</f>
        <v>3617918.6458916762</v>
      </c>
      <c r="H145" s="19">
        <f>Investment_Master!Q145/5</f>
        <v>3617918.6458916762</v>
      </c>
      <c r="I145" s="19">
        <f>Investment_Master!Q145/5</f>
        <v>3617918.6458916762</v>
      </c>
      <c r="J145" s="19">
        <f>Investment_Master!Q145/5</f>
        <v>3617918.6458916762</v>
      </c>
      <c r="K145" s="19">
        <f t="shared" si="13"/>
        <v>-3615241.864357708</v>
      </c>
      <c r="L145" s="20">
        <f t="shared" si="14"/>
        <v>1.4471763538431937E-2</v>
      </c>
      <c r="M145" s="21">
        <f>Investment_Master!V145</f>
        <v>4.7900469016015776</v>
      </c>
    </row>
    <row r="146" spans="1:13" ht="15" customHeight="1" x14ac:dyDescent="0.25">
      <c r="A146" s="17" t="str">
        <f>Investment_Master!A146</f>
        <v>INV-142</v>
      </c>
      <c r="B146" s="17" t="str">
        <f>Investment_Master!B146</f>
        <v>RPA Finance Rollout – South</v>
      </c>
      <c r="C146" s="19">
        <f>Investment_Master!J146</f>
        <v>22060000</v>
      </c>
      <c r="D146" s="20">
        <f>Investment_Master!Y146</f>
        <v>0.1</v>
      </c>
      <c r="E146" s="19">
        <f t="shared" si="12"/>
        <v>-22060000</v>
      </c>
      <c r="F146" s="19">
        <f>Investment_Master!Q146/5</f>
        <v>5032480.4712257581</v>
      </c>
      <c r="G146" s="19">
        <f>Investment_Master!Q146/5</f>
        <v>5032480.4712257581</v>
      </c>
      <c r="H146" s="19">
        <f>Investment_Master!Q146/5</f>
        <v>5032480.4712257581</v>
      </c>
      <c r="I146" s="19">
        <f>Investment_Master!Q146/5</f>
        <v>5032480.4712257581</v>
      </c>
      <c r="J146" s="19">
        <f>Investment_Master!Q146/5</f>
        <v>5032480.4712257581</v>
      </c>
      <c r="K146" s="19">
        <f t="shared" si="13"/>
        <v>-2982939.6123710088</v>
      </c>
      <c r="L146" s="20">
        <f t="shared" si="14"/>
        <v>4.5528069457679399E-2</v>
      </c>
      <c r="M146" s="21">
        <f>Investment_Master!V146</f>
        <v>4.3835242135826631</v>
      </c>
    </row>
    <row r="147" spans="1:13" ht="15" customHeight="1" x14ac:dyDescent="0.25">
      <c r="A147" s="17" t="str">
        <f>Investment_Master!A147</f>
        <v>INV-143</v>
      </c>
      <c r="B147" s="17" t="str">
        <f>Investment_Master!B147</f>
        <v>Leadership Development – West</v>
      </c>
      <c r="C147" s="19">
        <f>Investment_Master!J147</f>
        <v>10700000</v>
      </c>
      <c r="D147" s="20">
        <f>Investment_Master!Y147</f>
        <v>0.11</v>
      </c>
      <c r="E147" s="19">
        <f t="shared" si="12"/>
        <v>-10700000</v>
      </c>
      <c r="F147" s="19">
        <f>Investment_Master!Q147/5</f>
        <v>2159205.6755018816</v>
      </c>
      <c r="G147" s="19">
        <f>Investment_Master!Q147/5</f>
        <v>2159205.6755018816</v>
      </c>
      <c r="H147" s="19">
        <f>Investment_Master!Q147/5</f>
        <v>2159205.6755018816</v>
      </c>
      <c r="I147" s="19">
        <f>Investment_Master!Q147/5</f>
        <v>2159205.6755018816</v>
      </c>
      <c r="J147" s="19">
        <f>Investment_Master!Q147/5</f>
        <v>2159205.6755018816</v>
      </c>
      <c r="K147" s="19">
        <f t="shared" si="13"/>
        <v>-2719798.1834207978</v>
      </c>
      <c r="L147" s="20">
        <f t="shared" si="14"/>
        <v>2.9856045600713532E-3</v>
      </c>
      <c r="M147" s="21">
        <f>Investment_Master!V147</f>
        <v>4.9555260628485112</v>
      </c>
    </row>
    <row r="148" spans="1:13" ht="15" customHeight="1" x14ac:dyDescent="0.25">
      <c r="A148" s="17" t="str">
        <f>Investment_Master!A148</f>
        <v>INV-144</v>
      </c>
      <c r="B148" s="17" t="str">
        <f>Investment_Master!B148</f>
        <v>Plant Utility Upgrade – North</v>
      </c>
      <c r="C148" s="19">
        <f>Investment_Master!J148</f>
        <v>36800000</v>
      </c>
      <c r="D148" s="20">
        <f>Investment_Master!Y148</f>
        <v>0.1</v>
      </c>
      <c r="E148" s="19">
        <f t="shared" si="12"/>
        <v>-36800000</v>
      </c>
      <c r="F148" s="19">
        <f>Investment_Master!Q148/5</f>
        <v>7389985.7623744011</v>
      </c>
      <c r="G148" s="19">
        <f>Investment_Master!Q148/5</f>
        <v>7389985.7623744011</v>
      </c>
      <c r="H148" s="19">
        <f>Investment_Master!Q148/5</f>
        <v>7389985.7623744011</v>
      </c>
      <c r="I148" s="19">
        <f>Investment_Master!Q148/5</f>
        <v>7389985.7623744011</v>
      </c>
      <c r="J148" s="19">
        <f>Investment_Master!Q148/5</f>
        <v>7389985.7623744011</v>
      </c>
      <c r="K148" s="19">
        <f t="shared" si="13"/>
        <v>-8786139.745874323</v>
      </c>
      <c r="L148" s="20">
        <f t="shared" si="14"/>
        <v>1.3568243501460575E-3</v>
      </c>
      <c r="M148" s="21">
        <f>Investment_Master!V148</f>
        <v>4.9797118943536596</v>
      </c>
    </row>
    <row r="149" spans="1:13" ht="15" customHeight="1" x14ac:dyDescent="0.25">
      <c r="A149" s="17" t="str">
        <f>Investment_Master!A149</f>
        <v>INV-145</v>
      </c>
      <c r="B149" s="17" t="str">
        <f>Investment_Master!B149</f>
        <v>ERP Cloud Migration – East</v>
      </c>
      <c r="C149" s="19">
        <f>Investment_Master!J149</f>
        <v>9940000</v>
      </c>
      <c r="D149" s="20">
        <f>Investment_Master!Y149</f>
        <v>0.1</v>
      </c>
      <c r="E149" s="19">
        <f t="shared" si="12"/>
        <v>-9940000</v>
      </c>
      <c r="F149" s="19">
        <f>Investment_Master!Q149/5</f>
        <v>2316063.7988365437</v>
      </c>
      <c r="G149" s="19">
        <f>Investment_Master!Q149/5</f>
        <v>2316063.7988365437</v>
      </c>
      <c r="H149" s="19">
        <f>Investment_Master!Q149/5</f>
        <v>2316063.7988365437</v>
      </c>
      <c r="I149" s="19">
        <f>Investment_Master!Q149/5</f>
        <v>2316063.7988365437</v>
      </c>
      <c r="J149" s="19">
        <f>Investment_Master!Q149/5</f>
        <v>2316063.7988365437</v>
      </c>
      <c r="K149" s="19">
        <f t="shared" si="13"/>
        <v>-1160295.9942645635</v>
      </c>
      <c r="L149" s="20">
        <f t="shared" si="14"/>
        <v>5.3172971183625517E-2</v>
      </c>
      <c r="M149" s="21">
        <f>Investment_Master!V149</f>
        <v>4.2917643309278786</v>
      </c>
    </row>
    <row r="150" spans="1:13" ht="15" customHeight="1" x14ac:dyDescent="0.25">
      <c r="A150" s="17" t="str">
        <f>Investment_Master!A150</f>
        <v>INV-146</v>
      </c>
      <c r="B150" s="17" t="str">
        <f>Investment_Master!B150</f>
        <v>Brand Repositioning – Central</v>
      </c>
      <c r="C150" s="19">
        <f>Investment_Master!J150</f>
        <v>20540000</v>
      </c>
      <c r="D150" s="20">
        <f>Investment_Master!Y150</f>
        <v>0.12</v>
      </c>
      <c r="E150" s="19">
        <f t="shared" si="12"/>
        <v>-20540000</v>
      </c>
      <c r="F150" s="19">
        <f>Investment_Master!Q150/5</f>
        <v>4616315.1527040619</v>
      </c>
      <c r="G150" s="19">
        <f>Investment_Master!Q150/5</f>
        <v>4616315.1527040619</v>
      </c>
      <c r="H150" s="19">
        <f>Investment_Master!Q150/5</f>
        <v>4616315.1527040619</v>
      </c>
      <c r="I150" s="19">
        <f>Investment_Master!Q150/5</f>
        <v>4616315.1527040619</v>
      </c>
      <c r="J150" s="19">
        <f>Investment_Master!Q150/5</f>
        <v>4616315.1527040619</v>
      </c>
      <c r="K150" s="19">
        <f t="shared" si="13"/>
        <v>-3899216.9950077534</v>
      </c>
      <c r="L150" s="20">
        <f t="shared" si="14"/>
        <v>4.0190871510462856E-2</v>
      </c>
      <c r="M150" s="21">
        <f>Investment_Master!V150</f>
        <v>4.4494362539282983</v>
      </c>
    </row>
    <row r="151" spans="1:13" ht="15" customHeight="1" x14ac:dyDescent="0.25">
      <c r="A151" s="17" t="str">
        <f>Investment_Master!A151</f>
        <v>INV-147</v>
      </c>
      <c r="B151" s="17" t="str">
        <f>Investment_Master!B151</f>
        <v>Premium Product Line – South</v>
      </c>
      <c r="C151" s="19">
        <f>Investment_Master!J151</f>
        <v>25030000</v>
      </c>
      <c r="D151" s="20">
        <f>Investment_Master!Y151</f>
        <v>0.1</v>
      </c>
      <c r="E151" s="19">
        <f t="shared" si="12"/>
        <v>-25030000</v>
      </c>
      <c r="F151" s="19">
        <f>Investment_Master!Q151/5</f>
        <v>5070318.2639663871</v>
      </c>
      <c r="G151" s="19">
        <f>Investment_Master!Q151/5</f>
        <v>5070318.2639663871</v>
      </c>
      <c r="H151" s="19">
        <f>Investment_Master!Q151/5</f>
        <v>5070318.2639663871</v>
      </c>
      <c r="I151" s="19">
        <f>Investment_Master!Q151/5</f>
        <v>5070318.2639663871</v>
      </c>
      <c r="J151" s="19">
        <f>Investment_Master!Q151/5</f>
        <v>5070318.2639663871</v>
      </c>
      <c r="K151" s="19">
        <f t="shared" si="13"/>
        <v>-5809504.608266212</v>
      </c>
      <c r="L151" s="20">
        <f t="shared" si="14"/>
        <v>4.2706122025275572E-3</v>
      </c>
      <c r="M151" s="21">
        <f>Investment_Master!V151</f>
        <v>4.9365737409193002</v>
      </c>
    </row>
    <row r="152" spans="1:13" ht="15" customHeight="1" x14ac:dyDescent="0.25">
      <c r="A152" s="17" t="str">
        <f>Investment_Master!A152</f>
        <v>INV-148</v>
      </c>
      <c r="B152" s="17" t="str">
        <f>Investment_Master!B152</f>
        <v>Tier-2 City Expansion – West</v>
      </c>
      <c r="C152" s="19">
        <f>Investment_Master!J152</f>
        <v>22800000</v>
      </c>
      <c r="D152" s="20">
        <f>Investment_Master!Y152</f>
        <v>0.09</v>
      </c>
      <c r="E152" s="19">
        <f t="shared" si="12"/>
        <v>-22800000</v>
      </c>
      <c r="F152" s="19">
        <f>Investment_Master!Q152/5</f>
        <v>5372317.1382098719</v>
      </c>
      <c r="G152" s="19">
        <f>Investment_Master!Q152/5</f>
        <v>5372317.1382098719</v>
      </c>
      <c r="H152" s="19">
        <f>Investment_Master!Q152/5</f>
        <v>5372317.1382098719</v>
      </c>
      <c r="I152" s="19">
        <f>Investment_Master!Q152/5</f>
        <v>5372317.1382098719</v>
      </c>
      <c r="J152" s="19">
        <f>Investment_Master!Q152/5</f>
        <v>5372317.1382098719</v>
      </c>
      <c r="K152" s="19">
        <f t="shared" si="13"/>
        <v>-1903559.8562358953</v>
      </c>
      <c r="L152" s="20">
        <f t="shared" si="14"/>
        <v>5.7257429565497064E-2</v>
      </c>
      <c r="M152" s="21">
        <f>Investment_Master!V152</f>
        <v>4.2439787922865007</v>
      </c>
    </row>
    <row r="153" spans="1:13" ht="15" customHeight="1" x14ac:dyDescent="0.25">
      <c r="A153" s="17" t="str">
        <f>Investment_Master!A153</f>
        <v>INV-149</v>
      </c>
      <c r="B153" s="17" t="str">
        <f>Investment_Master!B153</f>
        <v>Automated Packaging Line – North</v>
      </c>
      <c r="C153" s="19">
        <f>Investment_Master!J153</f>
        <v>36690000</v>
      </c>
      <c r="D153" s="20">
        <f>Investment_Master!Y153</f>
        <v>0.11</v>
      </c>
      <c r="E153" s="19">
        <f t="shared" si="12"/>
        <v>-36690000</v>
      </c>
      <c r="F153" s="19">
        <f>Investment_Master!Q153/5</f>
        <v>8478151.0894534867</v>
      </c>
      <c r="G153" s="19">
        <f>Investment_Master!Q153/5</f>
        <v>8478151.0894534867</v>
      </c>
      <c r="H153" s="19">
        <f>Investment_Master!Q153/5</f>
        <v>8478151.0894534867</v>
      </c>
      <c r="I153" s="19">
        <f>Investment_Master!Q153/5</f>
        <v>8478151.0894534867</v>
      </c>
      <c r="J153" s="19">
        <f>Investment_Master!Q153/5</f>
        <v>8478151.0894534867</v>
      </c>
      <c r="K153" s="19">
        <f t="shared" si="13"/>
        <v>-5355626.6733072996</v>
      </c>
      <c r="L153" s="20">
        <f t="shared" si="14"/>
        <v>5.0157321332374494E-2</v>
      </c>
      <c r="M153" s="21">
        <f>Investment_Master!V153</f>
        <v>4.3275944970644638</v>
      </c>
    </row>
    <row r="154" spans="1:13" ht="15" customHeight="1" x14ac:dyDescent="0.25">
      <c r="A154" s="17" t="str">
        <f>Investment_Master!A154</f>
        <v>INV-150</v>
      </c>
      <c r="B154" s="17" t="str">
        <f>Investment_Master!B154</f>
        <v>RPA Finance Rollout – East</v>
      </c>
      <c r="C154" s="19">
        <f>Investment_Master!J154</f>
        <v>17760000</v>
      </c>
      <c r="D154" s="20">
        <f>Investment_Master!Y154</f>
        <v>0.11</v>
      </c>
      <c r="E154" s="19">
        <f t="shared" si="12"/>
        <v>-17760000</v>
      </c>
      <c r="F154" s="19">
        <f>Investment_Master!Q154/5</f>
        <v>4230656.9829875547</v>
      </c>
      <c r="G154" s="19">
        <f>Investment_Master!Q154/5</f>
        <v>4230656.9829875547</v>
      </c>
      <c r="H154" s="19">
        <f>Investment_Master!Q154/5</f>
        <v>4230656.9829875547</v>
      </c>
      <c r="I154" s="19">
        <f>Investment_Master!Q154/5</f>
        <v>4230656.9829875547</v>
      </c>
      <c r="J154" s="19">
        <f>Investment_Master!Q154/5</f>
        <v>4230656.9829875547</v>
      </c>
      <c r="K154" s="19">
        <f t="shared" si="13"/>
        <v>-2123927.4738784153</v>
      </c>
      <c r="L154" s="20">
        <f t="shared" si="14"/>
        <v>6.1263036341589139E-2</v>
      </c>
      <c r="M154" s="21">
        <f>Investment_Master!V154</f>
        <v>4.1979295583208582</v>
      </c>
    </row>
  </sheetData>
  <mergeCells count="2">
    <mergeCell ref="A1:H1"/>
    <mergeCell ref="A2:H2"/>
  </mergeCells>
  <conditionalFormatting sqref="K5:K154">
    <cfRule type="colorScale" priority="2">
      <colorScale>
        <cfvo type="num" val="-20000000"/>
        <cfvo type="num" val="0"/>
        <cfvo type="num" val="20000000"/>
        <color rgb="FFC00000"/>
        <color rgb="FFFFD966"/>
        <color rgb="FF70AD47"/>
      </colorScale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4"/>
  <sheetViews>
    <sheetView zoomScale="90" zoomScaleNormal="90" workbookViewId="0">
      <pane ySplit="4" topLeftCell="A5" activePane="bottomLeft" state="frozen"/>
      <selection pane="bottomLeft"/>
    </sheetView>
  </sheetViews>
  <sheetFormatPr defaultColWidth="8.7109375" defaultRowHeight="15" customHeight="1" x14ac:dyDescent="0.25"/>
  <cols>
    <col min="1" max="1" width="14" style="15" customWidth="1"/>
    <col min="2" max="2" width="34" style="15" customWidth="1"/>
    <col min="3" max="3" width="22" style="15" customWidth="1"/>
    <col min="4" max="4" width="16" style="15" customWidth="1"/>
    <col min="5" max="6" width="20" style="15" customWidth="1"/>
    <col min="7" max="7" width="18" style="15" customWidth="1"/>
    <col min="8" max="8" width="12" style="15" customWidth="1"/>
    <col min="9" max="9" width="22" style="15" customWidth="1"/>
  </cols>
  <sheetData>
    <row r="1" spans="1:9" ht="30" customHeight="1" x14ac:dyDescent="0.25">
      <c r="A1" s="14" t="s">
        <v>277</v>
      </c>
      <c r="B1" s="14"/>
      <c r="C1" s="14"/>
      <c r="D1" s="14"/>
      <c r="E1" s="14"/>
      <c r="F1" s="14"/>
      <c r="G1" s="14"/>
      <c r="H1" s="14"/>
    </row>
    <row r="2" spans="1:9" ht="19.5" customHeight="1" x14ac:dyDescent="0.25">
      <c r="A2" s="13" t="s">
        <v>278</v>
      </c>
      <c r="B2" s="13"/>
      <c r="C2" s="13"/>
      <c r="D2" s="13"/>
      <c r="E2" s="13"/>
      <c r="F2" s="13"/>
      <c r="G2" s="13"/>
      <c r="H2" s="13"/>
    </row>
    <row r="4" spans="1:9" ht="27.75" customHeight="1" x14ac:dyDescent="0.25">
      <c r="A4" s="16" t="s">
        <v>2</v>
      </c>
      <c r="B4" s="16" t="s">
        <v>3</v>
      </c>
      <c r="C4" s="16" t="s">
        <v>257</v>
      </c>
      <c r="D4" s="16" t="s">
        <v>5</v>
      </c>
      <c r="E4" s="16" t="s">
        <v>279</v>
      </c>
      <c r="F4" s="16" t="s">
        <v>280</v>
      </c>
      <c r="G4" s="16" t="s">
        <v>281</v>
      </c>
      <c r="H4" s="16" t="s">
        <v>282</v>
      </c>
      <c r="I4" s="16" t="s">
        <v>283</v>
      </c>
    </row>
    <row r="5" spans="1:9" ht="15" customHeight="1" x14ac:dyDescent="0.25">
      <c r="A5" s="17" t="str">
        <f>Investment_Master!A5</f>
        <v>INV-001</v>
      </c>
      <c r="B5" s="17" t="str">
        <f>Investment_Master!B5</f>
        <v>ERP Cloud Migration – Central</v>
      </c>
      <c r="C5" s="17" t="str">
        <f>Investment_Master!C5</f>
        <v>Technology</v>
      </c>
      <c r="D5" s="17" t="str">
        <f>Investment_Master!D5</f>
        <v>HR</v>
      </c>
      <c r="E5" s="19">
        <f>Investment_Master!K5</f>
        <v>36270000</v>
      </c>
      <c r="F5" s="19">
        <f>Investment_Master!J5</f>
        <v>36250000</v>
      </c>
      <c r="G5" s="19">
        <f t="shared" ref="G5:G36" si="0">F5-E5</f>
        <v>-20000</v>
      </c>
      <c r="H5" s="20">
        <f t="shared" ref="H5:H36" si="1">IFERROR(G5/E5,0)</f>
        <v>-5.5141990625861594E-4</v>
      </c>
      <c r="I5" s="17" t="str">
        <f t="shared" ref="I5:I36" si="2">IF(H5&lt;=0,"Within Budget",IF(H5&lt;=5%,"Moderate Overrun","Significant Overrun"))</f>
        <v>Within Budget</v>
      </c>
    </row>
    <row r="6" spans="1:9" ht="15" customHeight="1" x14ac:dyDescent="0.25">
      <c r="A6" s="17" t="str">
        <f>Investment_Master!A6</f>
        <v>INV-002</v>
      </c>
      <c r="B6" s="17" t="str">
        <f>Investment_Master!B6</f>
        <v>Brand Repositioning – South</v>
      </c>
      <c r="C6" s="17" t="str">
        <f>Investment_Master!C6</f>
        <v>Marketing</v>
      </c>
      <c r="D6" s="17" t="str">
        <f>Investment_Master!D6</f>
        <v>Supply Chain</v>
      </c>
      <c r="E6" s="19">
        <f>Investment_Master!K6</f>
        <v>8460000</v>
      </c>
      <c r="F6" s="19">
        <f>Investment_Master!J6</f>
        <v>8020000</v>
      </c>
      <c r="G6" s="19">
        <f t="shared" si="0"/>
        <v>-440000</v>
      </c>
      <c r="H6" s="20">
        <f t="shared" si="1"/>
        <v>-5.2009456264775412E-2</v>
      </c>
      <c r="I6" s="17" t="str">
        <f t="shared" si="2"/>
        <v>Within Budget</v>
      </c>
    </row>
    <row r="7" spans="1:9" ht="15" customHeight="1" x14ac:dyDescent="0.25">
      <c r="A7" s="17" t="str">
        <f>Investment_Master!A7</f>
        <v>INV-003</v>
      </c>
      <c r="B7" s="17" t="str">
        <f>Investment_Master!B7</f>
        <v>Premium Product Line – West</v>
      </c>
      <c r="C7" s="17" t="str">
        <f>Investment_Master!C7</f>
        <v>Product Development</v>
      </c>
      <c r="D7" s="17" t="str">
        <f>Investment_Master!D7</f>
        <v>Operations</v>
      </c>
      <c r="E7" s="19">
        <f>Investment_Master!K7</f>
        <v>36480000</v>
      </c>
      <c r="F7" s="19">
        <f>Investment_Master!J7</f>
        <v>35540000</v>
      </c>
      <c r="G7" s="19">
        <f t="shared" si="0"/>
        <v>-940000</v>
      </c>
      <c r="H7" s="20">
        <f t="shared" si="1"/>
        <v>-2.5767543859649123E-2</v>
      </c>
      <c r="I7" s="17" t="str">
        <f t="shared" si="2"/>
        <v>Within Budget</v>
      </c>
    </row>
    <row r="8" spans="1:9" ht="15" customHeight="1" x14ac:dyDescent="0.25">
      <c r="A8" s="17" t="str">
        <f>Investment_Master!A8</f>
        <v>INV-004</v>
      </c>
      <c r="B8" s="17" t="str">
        <f>Investment_Master!B8</f>
        <v>Tier-2 City Expansion – North</v>
      </c>
      <c r="C8" s="17" t="str">
        <f>Investment_Master!C8</f>
        <v>Expansion</v>
      </c>
      <c r="D8" s="17" t="str">
        <f>Investment_Master!D8</f>
        <v>Finance</v>
      </c>
      <c r="E8" s="19">
        <f>Investment_Master!K8</f>
        <v>24320000</v>
      </c>
      <c r="F8" s="19">
        <f>Investment_Master!J8</f>
        <v>23090000</v>
      </c>
      <c r="G8" s="19">
        <f t="shared" si="0"/>
        <v>-1230000</v>
      </c>
      <c r="H8" s="20">
        <f t="shared" si="1"/>
        <v>-5.0575657894736843E-2</v>
      </c>
      <c r="I8" s="17" t="str">
        <f t="shared" si="2"/>
        <v>Within Budget</v>
      </c>
    </row>
    <row r="9" spans="1:9" ht="15" customHeight="1" x14ac:dyDescent="0.25">
      <c r="A9" s="17" t="str">
        <f>Investment_Master!A9</f>
        <v>INV-005</v>
      </c>
      <c r="B9" s="17" t="str">
        <f>Investment_Master!B9</f>
        <v>Automated Packaging Line – East</v>
      </c>
      <c r="C9" s="17" t="str">
        <f>Investment_Master!C9</f>
        <v>Equipment</v>
      </c>
      <c r="D9" s="17" t="str">
        <f>Investment_Master!D9</f>
        <v>Sales</v>
      </c>
      <c r="E9" s="19">
        <f>Investment_Master!K9</f>
        <v>30250000</v>
      </c>
      <c r="F9" s="19">
        <f>Investment_Master!J9</f>
        <v>31290000</v>
      </c>
      <c r="G9" s="19">
        <f t="shared" si="0"/>
        <v>1040000</v>
      </c>
      <c r="H9" s="20">
        <f t="shared" si="1"/>
        <v>3.43801652892562E-2</v>
      </c>
      <c r="I9" s="17" t="str">
        <f t="shared" si="2"/>
        <v>Moderate Overrun</v>
      </c>
    </row>
    <row r="10" spans="1:9" ht="15" customHeight="1" x14ac:dyDescent="0.25">
      <c r="A10" s="17" t="str">
        <f>Investment_Master!A10</f>
        <v>INV-006</v>
      </c>
      <c r="B10" s="17" t="str">
        <f>Investment_Master!B10</f>
        <v>RPA Finance Rollout – Central</v>
      </c>
      <c r="C10" s="17" t="str">
        <f>Investment_Master!C10</f>
        <v>Automation</v>
      </c>
      <c r="D10" s="17" t="str">
        <f>Investment_Master!D10</f>
        <v>IT</v>
      </c>
      <c r="E10" s="19">
        <f>Investment_Master!K10</f>
        <v>17490000</v>
      </c>
      <c r="F10" s="19">
        <f>Investment_Master!J10</f>
        <v>18900000</v>
      </c>
      <c r="G10" s="19">
        <f t="shared" si="0"/>
        <v>1410000</v>
      </c>
      <c r="H10" s="20">
        <f t="shared" si="1"/>
        <v>8.0617495711835338E-2</v>
      </c>
      <c r="I10" s="17" t="str">
        <f t="shared" si="2"/>
        <v>Significant Overrun</v>
      </c>
    </row>
    <row r="11" spans="1:9" ht="15" customHeight="1" x14ac:dyDescent="0.25">
      <c r="A11" s="17" t="str">
        <f>Investment_Master!A11</f>
        <v>INV-007</v>
      </c>
      <c r="B11" s="17" t="str">
        <f>Investment_Master!B11</f>
        <v>Leadership Development – South</v>
      </c>
      <c r="C11" s="17" t="str">
        <f>Investment_Master!C11</f>
        <v>Training</v>
      </c>
      <c r="D11" s="17" t="str">
        <f>Investment_Master!D11</f>
        <v>Product</v>
      </c>
      <c r="E11" s="19">
        <f>Investment_Master!K11</f>
        <v>12170000</v>
      </c>
      <c r="F11" s="19">
        <f>Investment_Master!J11</f>
        <v>13230000</v>
      </c>
      <c r="G11" s="19">
        <f t="shared" si="0"/>
        <v>1060000</v>
      </c>
      <c r="H11" s="20">
        <f t="shared" si="1"/>
        <v>8.7099424815119147E-2</v>
      </c>
      <c r="I11" s="17" t="str">
        <f t="shared" si="2"/>
        <v>Significant Overrun</v>
      </c>
    </row>
    <row r="12" spans="1:9" ht="15" customHeight="1" x14ac:dyDescent="0.25">
      <c r="A12" s="17" t="str">
        <f>Investment_Master!A12</f>
        <v>INV-008</v>
      </c>
      <c r="B12" s="17" t="str">
        <f>Investment_Master!B12</f>
        <v>Plant Utility Upgrade – West</v>
      </c>
      <c r="C12" s="17" t="str">
        <f>Investment_Master!C12</f>
        <v>Infrastructure</v>
      </c>
      <c r="D12" s="17" t="str">
        <f>Investment_Master!D12</f>
        <v>Marketing</v>
      </c>
      <c r="E12" s="19">
        <f>Investment_Master!K12</f>
        <v>16370000</v>
      </c>
      <c r="F12" s="19">
        <f>Investment_Master!J12</f>
        <v>17620000</v>
      </c>
      <c r="G12" s="19">
        <f t="shared" si="0"/>
        <v>1250000</v>
      </c>
      <c r="H12" s="20">
        <f t="shared" si="1"/>
        <v>7.6359193646915083E-2</v>
      </c>
      <c r="I12" s="17" t="str">
        <f t="shared" si="2"/>
        <v>Significant Overrun</v>
      </c>
    </row>
    <row r="13" spans="1:9" ht="15" customHeight="1" x14ac:dyDescent="0.25">
      <c r="A13" s="17" t="str">
        <f>Investment_Master!A13</f>
        <v>INV-009</v>
      </c>
      <c r="B13" s="17" t="str">
        <f>Investment_Master!B13</f>
        <v>ERP Cloud Migration – North</v>
      </c>
      <c r="C13" s="17" t="str">
        <f>Investment_Master!C13</f>
        <v>Technology</v>
      </c>
      <c r="D13" s="17" t="str">
        <f>Investment_Master!D13</f>
        <v>HR</v>
      </c>
      <c r="E13" s="19">
        <f>Investment_Master!K13</f>
        <v>21430000</v>
      </c>
      <c r="F13" s="19">
        <f>Investment_Master!J13</f>
        <v>20840000</v>
      </c>
      <c r="G13" s="19">
        <f t="shared" si="0"/>
        <v>-590000</v>
      </c>
      <c r="H13" s="20">
        <f t="shared" si="1"/>
        <v>-2.7531497900139992E-2</v>
      </c>
      <c r="I13" s="17" t="str">
        <f t="shared" si="2"/>
        <v>Within Budget</v>
      </c>
    </row>
    <row r="14" spans="1:9" ht="15" customHeight="1" x14ac:dyDescent="0.25">
      <c r="A14" s="17" t="str">
        <f>Investment_Master!A14</f>
        <v>INV-010</v>
      </c>
      <c r="B14" s="17" t="str">
        <f>Investment_Master!B14</f>
        <v>Brand Repositioning – East</v>
      </c>
      <c r="C14" s="17" t="str">
        <f>Investment_Master!C14</f>
        <v>Marketing</v>
      </c>
      <c r="D14" s="17" t="str">
        <f>Investment_Master!D14</f>
        <v>Supply Chain</v>
      </c>
      <c r="E14" s="19">
        <f>Investment_Master!K14</f>
        <v>9850000</v>
      </c>
      <c r="F14" s="19">
        <f>Investment_Master!J14</f>
        <v>9510000</v>
      </c>
      <c r="G14" s="19">
        <f t="shared" si="0"/>
        <v>-340000</v>
      </c>
      <c r="H14" s="20">
        <f t="shared" si="1"/>
        <v>-3.4517766497461931E-2</v>
      </c>
      <c r="I14" s="17" t="str">
        <f t="shared" si="2"/>
        <v>Within Budget</v>
      </c>
    </row>
    <row r="15" spans="1:9" ht="15" customHeight="1" x14ac:dyDescent="0.25">
      <c r="A15" s="17" t="str">
        <f>Investment_Master!A15</f>
        <v>INV-011</v>
      </c>
      <c r="B15" s="17" t="str">
        <f>Investment_Master!B15</f>
        <v>Premium Product Line – Central</v>
      </c>
      <c r="C15" s="17" t="str">
        <f>Investment_Master!C15</f>
        <v>Product Development</v>
      </c>
      <c r="D15" s="17" t="str">
        <f>Investment_Master!D15</f>
        <v>Operations</v>
      </c>
      <c r="E15" s="19">
        <f>Investment_Master!K15</f>
        <v>25610000</v>
      </c>
      <c r="F15" s="19">
        <f>Investment_Master!J15</f>
        <v>24030000</v>
      </c>
      <c r="G15" s="19">
        <f t="shared" si="0"/>
        <v>-1580000</v>
      </c>
      <c r="H15" s="20">
        <f t="shared" si="1"/>
        <v>-6.1694650527137837E-2</v>
      </c>
      <c r="I15" s="17" t="str">
        <f t="shared" si="2"/>
        <v>Within Budget</v>
      </c>
    </row>
    <row r="16" spans="1:9" ht="15" customHeight="1" x14ac:dyDescent="0.25">
      <c r="A16" s="17" t="str">
        <f>Investment_Master!A16</f>
        <v>INV-012</v>
      </c>
      <c r="B16" s="17" t="str">
        <f>Investment_Master!B16</f>
        <v>Tier-2 City Expansion – South</v>
      </c>
      <c r="C16" s="17" t="str">
        <f>Investment_Master!C16</f>
        <v>Expansion</v>
      </c>
      <c r="D16" s="17" t="str">
        <f>Investment_Master!D16</f>
        <v>Finance</v>
      </c>
      <c r="E16" s="19">
        <f>Investment_Master!K16</f>
        <v>30060000</v>
      </c>
      <c r="F16" s="19">
        <f>Investment_Master!J16</f>
        <v>29770000</v>
      </c>
      <c r="G16" s="19">
        <f t="shared" si="0"/>
        <v>-290000</v>
      </c>
      <c r="H16" s="20">
        <f t="shared" si="1"/>
        <v>-9.6473719228210245E-3</v>
      </c>
      <c r="I16" s="17" t="str">
        <f t="shared" si="2"/>
        <v>Within Budget</v>
      </c>
    </row>
    <row r="17" spans="1:9" ht="15" customHeight="1" x14ac:dyDescent="0.25">
      <c r="A17" s="17" t="str">
        <f>Investment_Master!A17</f>
        <v>INV-013</v>
      </c>
      <c r="B17" s="17" t="str">
        <f>Investment_Master!B17</f>
        <v>Automated Packaging Line – West</v>
      </c>
      <c r="C17" s="17" t="str">
        <f>Investment_Master!C17</f>
        <v>Equipment</v>
      </c>
      <c r="D17" s="17" t="str">
        <f>Investment_Master!D17</f>
        <v>Sales</v>
      </c>
      <c r="E17" s="19">
        <f>Investment_Master!K17</f>
        <v>11660000</v>
      </c>
      <c r="F17" s="19">
        <f>Investment_Master!J17</f>
        <v>10900000</v>
      </c>
      <c r="G17" s="19">
        <f t="shared" si="0"/>
        <v>-760000</v>
      </c>
      <c r="H17" s="20">
        <f t="shared" si="1"/>
        <v>-6.5180102915951971E-2</v>
      </c>
      <c r="I17" s="17" t="str">
        <f t="shared" si="2"/>
        <v>Within Budget</v>
      </c>
    </row>
    <row r="18" spans="1:9" ht="15" customHeight="1" x14ac:dyDescent="0.25">
      <c r="A18" s="17" t="str">
        <f>Investment_Master!A18</f>
        <v>INV-014</v>
      </c>
      <c r="B18" s="17" t="str">
        <f>Investment_Master!B18</f>
        <v>RPA Finance Rollout – North</v>
      </c>
      <c r="C18" s="17" t="str">
        <f>Investment_Master!C18</f>
        <v>Automation</v>
      </c>
      <c r="D18" s="17" t="str">
        <f>Investment_Master!D18</f>
        <v>IT</v>
      </c>
      <c r="E18" s="19">
        <f>Investment_Master!K18</f>
        <v>17520000</v>
      </c>
      <c r="F18" s="19">
        <f>Investment_Master!J18</f>
        <v>17990000</v>
      </c>
      <c r="G18" s="19">
        <f t="shared" si="0"/>
        <v>470000</v>
      </c>
      <c r="H18" s="20">
        <f t="shared" si="1"/>
        <v>2.6826484018264839E-2</v>
      </c>
      <c r="I18" s="17" t="str">
        <f t="shared" si="2"/>
        <v>Moderate Overrun</v>
      </c>
    </row>
    <row r="19" spans="1:9" ht="15" customHeight="1" x14ac:dyDescent="0.25">
      <c r="A19" s="17" t="str">
        <f>Investment_Master!A19</f>
        <v>INV-015</v>
      </c>
      <c r="B19" s="17" t="str">
        <f>Investment_Master!B19</f>
        <v>Leadership Development – East</v>
      </c>
      <c r="C19" s="17" t="str">
        <f>Investment_Master!C19</f>
        <v>Training</v>
      </c>
      <c r="D19" s="17" t="str">
        <f>Investment_Master!D19</f>
        <v>Product</v>
      </c>
      <c r="E19" s="19">
        <f>Investment_Master!K19</f>
        <v>3400000</v>
      </c>
      <c r="F19" s="19">
        <f>Investment_Master!J19</f>
        <v>3540000</v>
      </c>
      <c r="G19" s="19">
        <f t="shared" si="0"/>
        <v>140000</v>
      </c>
      <c r="H19" s="20">
        <f t="shared" si="1"/>
        <v>4.1176470588235294E-2</v>
      </c>
      <c r="I19" s="17" t="str">
        <f t="shared" si="2"/>
        <v>Moderate Overrun</v>
      </c>
    </row>
    <row r="20" spans="1:9" ht="15" customHeight="1" x14ac:dyDescent="0.25">
      <c r="A20" s="17" t="str">
        <f>Investment_Master!A20</f>
        <v>INV-016</v>
      </c>
      <c r="B20" s="17" t="str">
        <f>Investment_Master!B20</f>
        <v>Plant Utility Upgrade – Central</v>
      </c>
      <c r="C20" s="17" t="str">
        <f>Investment_Master!C20</f>
        <v>Infrastructure</v>
      </c>
      <c r="D20" s="17" t="str">
        <f>Investment_Master!D20</f>
        <v>Marketing</v>
      </c>
      <c r="E20" s="19">
        <f>Investment_Master!K20</f>
        <v>38180000</v>
      </c>
      <c r="F20" s="19">
        <f>Investment_Master!J20</f>
        <v>35980000</v>
      </c>
      <c r="G20" s="19">
        <f t="shared" si="0"/>
        <v>-2200000</v>
      </c>
      <c r="H20" s="20">
        <f t="shared" si="1"/>
        <v>-5.7621791513881616E-2</v>
      </c>
      <c r="I20" s="17" t="str">
        <f t="shared" si="2"/>
        <v>Within Budget</v>
      </c>
    </row>
    <row r="21" spans="1:9" ht="15" customHeight="1" x14ac:dyDescent="0.25">
      <c r="A21" s="17" t="str">
        <f>Investment_Master!A21</f>
        <v>INV-017</v>
      </c>
      <c r="B21" s="17" t="str">
        <f>Investment_Master!B21</f>
        <v>ERP Cloud Migration – South</v>
      </c>
      <c r="C21" s="17" t="str">
        <f>Investment_Master!C21</f>
        <v>Technology</v>
      </c>
      <c r="D21" s="17" t="str">
        <f>Investment_Master!D21</f>
        <v>HR</v>
      </c>
      <c r="E21" s="19">
        <f>Investment_Master!K21</f>
        <v>35520000</v>
      </c>
      <c r="F21" s="19">
        <f>Investment_Master!J21</f>
        <v>33640000</v>
      </c>
      <c r="G21" s="19">
        <f t="shared" si="0"/>
        <v>-1880000</v>
      </c>
      <c r="H21" s="20">
        <f t="shared" si="1"/>
        <v>-5.2927927927927929E-2</v>
      </c>
      <c r="I21" s="17" t="str">
        <f t="shared" si="2"/>
        <v>Within Budget</v>
      </c>
    </row>
    <row r="22" spans="1:9" ht="15" customHeight="1" x14ac:dyDescent="0.25">
      <c r="A22" s="17" t="str">
        <f>Investment_Master!A22</f>
        <v>INV-018</v>
      </c>
      <c r="B22" s="17" t="str">
        <f>Investment_Master!B22</f>
        <v>Brand Repositioning – West</v>
      </c>
      <c r="C22" s="17" t="str">
        <f>Investment_Master!C22</f>
        <v>Marketing</v>
      </c>
      <c r="D22" s="17" t="str">
        <f>Investment_Master!D22</f>
        <v>Supply Chain</v>
      </c>
      <c r="E22" s="19">
        <f>Investment_Master!K22</f>
        <v>12110000</v>
      </c>
      <c r="F22" s="19">
        <f>Investment_Master!J22</f>
        <v>12340000</v>
      </c>
      <c r="G22" s="19">
        <f t="shared" si="0"/>
        <v>230000</v>
      </c>
      <c r="H22" s="20">
        <f t="shared" si="1"/>
        <v>1.8992568125516102E-2</v>
      </c>
      <c r="I22" s="17" t="str">
        <f t="shared" si="2"/>
        <v>Moderate Overrun</v>
      </c>
    </row>
    <row r="23" spans="1:9" ht="15" customHeight="1" x14ac:dyDescent="0.25">
      <c r="A23" s="17" t="str">
        <f>Investment_Master!A23</f>
        <v>INV-019</v>
      </c>
      <c r="B23" s="17" t="str">
        <f>Investment_Master!B23</f>
        <v>Premium Product Line – North</v>
      </c>
      <c r="C23" s="17" t="str">
        <f>Investment_Master!C23</f>
        <v>Product Development</v>
      </c>
      <c r="D23" s="17" t="str">
        <f>Investment_Master!D23</f>
        <v>Operations</v>
      </c>
      <c r="E23" s="19">
        <f>Investment_Master!K23</f>
        <v>26330000</v>
      </c>
      <c r="F23" s="19">
        <f>Investment_Master!J23</f>
        <v>26730000</v>
      </c>
      <c r="G23" s="19">
        <f t="shared" si="0"/>
        <v>400000</v>
      </c>
      <c r="H23" s="20">
        <f t="shared" si="1"/>
        <v>1.5191796429927839E-2</v>
      </c>
      <c r="I23" s="17" t="str">
        <f t="shared" si="2"/>
        <v>Moderate Overrun</v>
      </c>
    </row>
    <row r="24" spans="1:9" ht="15" customHeight="1" x14ac:dyDescent="0.25">
      <c r="A24" s="17" t="str">
        <f>Investment_Master!A24</f>
        <v>INV-020</v>
      </c>
      <c r="B24" s="17" t="str">
        <f>Investment_Master!B24</f>
        <v>Tier-2 City Expansion – East</v>
      </c>
      <c r="C24" s="17" t="str">
        <f>Investment_Master!C24</f>
        <v>Expansion</v>
      </c>
      <c r="D24" s="17" t="str">
        <f>Investment_Master!D24</f>
        <v>Finance</v>
      </c>
      <c r="E24" s="19">
        <f>Investment_Master!K24</f>
        <v>59140000</v>
      </c>
      <c r="F24" s="19">
        <f>Investment_Master!J24</f>
        <v>55370000</v>
      </c>
      <c r="G24" s="19">
        <f t="shared" si="0"/>
        <v>-3770000</v>
      </c>
      <c r="H24" s="20">
        <f t="shared" si="1"/>
        <v>-6.37470409198512E-2</v>
      </c>
      <c r="I24" s="17" t="str">
        <f t="shared" si="2"/>
        <v>Within Budget</v>
      </c>
    </row>
    <row r="25" spans="1:9" ht="15" customHeight="1" x14ac:dyDescent="0.25">
      <c r="A25" s="17" t="str">
        <f>Investment_Master!A25</f>
        <v>INV-021</v>
      </c>
      <c r="B25" s="17" t="str">
        <f>Investment_Master!B25</f>
        <v>Automated Packaging Line – Central</v>
      </c>
      <c r="C25" s="17" t="str">
        <f>Investment_Master!C25</f>
        <v>Equipment</v>
      </c>
      <c r="D25" s="17" t="str">
        <f>Investment_Master!D25</f>
        <v>Sales</v>
      </c>
      <c r="E25" s="19">
        <f>Investment_Master!K25</f>
        <v>20030000</v>
      </c>
      <c r="F25" s="19">
        <f>Investment_Master!J25</f>
        <v>18210000</v>
      </c>
      <c r="G25" s="19">
        <f t="shared" si="0"/>
        <v>-1820000</v>
      </c>
      <c r="H25" s="20">
        <f t="shared" si="1"/>
        <v>-9.0863704443334997E-2</v>
      </c>
      <c r="I25" s="17" t="str">
        <f t="shared" si="2"/>
        <v>Within Budget</v>
      </c>
    </row>
    <row r="26" spans="1:9" ht="15" customHeight="1" x14ac:dyDescent="0.25">
      <c r="A26" s="17" t="str">
        <f>Investment_Master!A26</f>
        <v>INV-022</v>
      </c>
      <c r="B26" s="17" t="str">
        <f>Investment_Master!B26</f>
        <v>RPA Finance Rollout – South</v>
      </c>
      <c r="C26" s="17" t="str">
        <f>Investment_Master!C26</f>
        <v>Automation</v>
      </c>
      <c r="D26" s="17" t="str">
        <f>Investment_Master!D26</f>
        <v>IT</v>
      </c>
      <c r="E26" s="19">
        <f>Investment_Master!K26</f>
        <v>28110000</v>
      </c>
      <c r="F26" s="19">
        <f>Investment_Master!J26</f>
        <v>29650000</v>
      </c>
      <c r="G26" s="19">
        <f t="shared" si="0"/>
        <v>1540000</v>
      </c>
      <c r="H26" s="20">
        <f t="shared" si="1"/>
        <v>5.478477410174315E-2</v>
      </c>
      <c r="I26" s="17" t="str">
        <f t="shared" si="2"/>
        <v>Significant Overrun</v>
      </c>
    </row>
    <row r="27" spans="1:9" ht="15" customHeight="1" x14ac:dyDescent="0.25">
      <c r="A27" s="17" t="str">
        <f>Investment_Master!A27</f>
        <v>INV-023</v>
      </c>
      <c r="B27" s="17" t="str">
        <f>Investment_Master!B27</f>
        <v>Leadership Development – West</v>
      </c>
      <c r="C27" s="17" t="str">
        <f>Investment_Master!C27</f>
        <v>Training</v>
      </c>
      <c r="D27" s="17" t="str">
        <f>Investment_Master!D27</f>
        <v>Product</v>
      </c>
      <c r="E27" s="19">
        <f>Investment_Master!K27</f>
        <v>2590000</v>
      </c>
      <c r="F27" s="19">
        <f>Investment_Master!J27</f>
        <v>2670000</v>
      </c>
      <c r="G27" s="19">
        <f t="shared" si="0"/>
        <v>80000</v>
      </c>
      <c r="H27" s="20">
        <f t="shared" si="1"/>
        <v>3.0888030888030889E-2</v>
      </c>
      <c r="I27" s="17" t="str">
        <f t="shared" si="2"/>
        <v>Moderate Overrun</v>
      </c>
    </row>
    <row r="28" spans="1:9" ht="15" customHeight="1" x14ac:dyDescent="0.25">
      <c r="A28" s="17" t="str">
        <f>Investment_Master!A28</f>
        <v>INV-024</v>
      </c>
      <c r="B28" s="17" t="str">
        <f>Investment_Master!B28</f>
        <v>Plant Utility Upgrade – North</v>
      </c>
      <c r="C28" s="17" t="str">
        <f>Investment_Master!C28</f>
        <v>Infrastructure</v>
      </c>
      <c r="D28" s="17" t="str">
        <f>Investment_Master!D28</f>
        <v>Marketing</v>
      </c>
      <c r="E28" s="19">
        <f>Investment_Master!K28</f>
        <v>41960000</v>
      </c>
      <c r="F28" s="19">
        <f>Investment_Master!J28</f>
        <v>44500000</v>
      </c>
      <c r="G28" s="19">
        <f t="shared" si="0"/>
        <v>2540000</v>
      </c>
      <c r="H28" s="20">
        <f t="shared" si="1"/>
        <v>6.0533841754051479E-2</v>
      </c>
      <c r="I28" s="17" t="str">
        <f t="shared" si="2"/>
        <v>Significant Overrun</v>
      </c>
    </row>
    <row r="29" spans="1:9" ht="15" customHeight="1" x14ac:dyDescent="0.25">
      <c r="A29" s="17" t="str">
        <f>Investment_Master!A29</f>
        <v>INV-025</v>
      </c>
      <c r="B29" s="17" t="str">
        <f>Investment_Master!B29</f>
        <v>ERP Cloud Migration – East</v>
      </c>
      <c r="C29" s="17" t="str">
        <f>Investment_Master!C29</f>
        <v>Technology</v>
      </c>
      <c r="D29" s="17" t="str">
        <f>Investment_Master!D29</f>
        <v>HR</v>
      </c>
      <c r="E29" s="19">
        <f>Investment_Master!K29</f>
        <v>25460000</v>
      </c>
      <c r="F29" s="19">
        <f>Investment_Master!J29</f>
        <v>23650000</v>
      </c>
      <c r="G29" s="19">
        <f t="shared" si="0"/>
        <v>-1810000</v>
      </c>
      <c r="H29" s="20">
        <f t="shared" si="1"/>
        <v>-7.1091908876669288E-2</v>
      </c>
      <c r="I29" s="17" t="str">
        <f t="shared" si="2"/>
        <v>Within Budget</v>
      </c>
    </row>
    <row r="30" spans="1:9" ht="15" customHeight="1" x14ac:dyDescent="0.25">
      <c r="A30" s="17" t="str">
        <f>Investment_Master!A30</f>
        <v>INV-026</v>
      </c>
      <c r="B30" s="17" t="str">
        <f>Investment_Master!B30</f>
        <v>Brand Repositioning – Central</v>
      </c>
      <c r="C30" s="17" t="str">
        <f>Investment_Master!C30</f>
        <v>Marketing</v>
      </c>
      <c r="D30" s="17" t="str">
        <f>Investment_Master!D30</f>
        <v>Supply Chain</v>
      </c>
      <c r="E30" s="19">
        <f>Investment_Master!K30</f>
        <v>18500000</v>
      </c>
      <c r="F30" s="19">
        <f>Investment_Master!J30</f>
        <v>19680000</v>
      </c>
      <c r="G30" s="19">
        <f t="shared" si="0"/>
        <v>1180000</v>
      </c>
      <c r="H30" s="20">
        <f t="shared" si="1"/>
        <v>6.3783783783783785E-2</v>
      </c>
      <c r="I30" s="17" t="str">
        <f t="shared" si="2"/>
        <v>Significant Overrun</v>
      </c>
    </row>
    <row r="31" spans="1:9" ht="15" customHeight="1" x14ac:dyDescent="0.25">
      <c r="A31" s="17" t="str">
        <f>Investment_Master!A31</f>
        <v>INV-027</v>
      </c>
      <c r="B31" s="17" t="str">
        <f>Investment_Master!B31</f>
        <v>Premium Product Line – South</v>
      </c>
      <c r="C31" s="17" t="str">
        <f>Investment_Master!C31</f>
        <v>Product Development</v>
      </c>
      <c r="D31" s="17" t="str">
        <f>Investment_Master!D31</f>
        <v>Operations</v>
      </c>
      <c r="E31" s="19">
        <f>Investment_Master!K31</f>
        <v>21990000</v>
      </c>
      <c r="F31" s="19">
        <f>Investment_Master!J31</f>
        <v>21180000</v>
      </c>
      <c r="G31" s="19">
        <f t="shared" si="0"/>
        <v>-810000</v>
      </c>
      <c r="H31" s="20">
        <f t="shared" si="1"/>
        <v>-3.6834924965893585E-2</v>
      </c>
      <c r="I31" s="17" t="str">
        <f t="shared" si="2"/>
        <v>Within Budget</v>
      </c>
    </row>
    <row r="32" spans="1:9" ht="15" customHeight="1" x14ac:dyDescent="0.25">
      <c r="A32" s="17" t="str">
        <f>Investment_Master!A32</f>
        <v>INV-028</v>
      </c>
      <c r="B32" s="17" t="str">
        <f>Investment_Master!B32</f>
        <v>Tier-2 City Expansion – West</v>
      </c>
      <c r="C32" s="17" t="str">
        <f>Investment_Master!C32</f>
        <v>Expansion</v>
      </c>
      <c r="D32" s="17" t="str">
        <f>Investment_Master!D32</f>
        <v>Finance</v>
      </c>
      <c r="E32" s="19">
        <f>Investment_Master!K32</f>
        <v>49490000</v>
      </c>
      <c r="F32" s="19">
        <f>Investment_Master!J32</f>
        <v>48920000</v>
      </c>
      <c r="G32" s="19">
        <f t="shared" si="0"/>
        <v>-570000</v>
      </c>
      <c r="H32" s="20">
        <f t="shared" si="1"/>
        <v>-1.1517478278440088E-2</v>
      </c>
      <c r="I32" s="17" t="str">
        <f t="shared" si="2"/>
        <v>Within Budget</v>
      </c>
    </row>
    <row r="33" spans="1:9" ht="15" customHeight="1" x14ac:dyDescent="0.25">
      <c r="A33" s="17" t="str">
        <f>Investment_Master!A33</f>
        <v>INV-029</v>
      </c>
      <c r="B33" s="17" t="str">
        <f>Investment_Master!B33</f>
        <v>Automated Packaging Line – North</v>
      </c>
      <c r="C33" s="17" t="str">
        <f>Investment_Master!C33</f>
        <v>Equipment</v>
      </c>
      <c r="D33" s="17" t="str">
        <f>Investment_Master!D33</f>
        <v>Sales</v>
      </c>
      <c r="E33" s="19">
        <f>Investment_Master!K33</f>
        <v>29130000</v>
      </c>
      <c r="F33" s="19">
        <f>Investment_Master!J33</f>
        <v>26540000</v>
      </c>
      <c r="G33" s="19">
        <f t="shared" si="0"/>
        <v>-2590000</v>
      </c>
      <c r="H33" s="20">
        <f t="shared" si="1"/>
        <v>-8.8911774802608992E-2</v>
      </c>
      <c r="I33" s="17" t="str">
        <f t="shared" si="2"/>
        <v>Within Budget</v>
      </c>
    </row>
    <row r="34" spans="1:9" ht="15" customHeight="1" x14ac:dyDescent="0.25">
      <c r="A34" s="17" t="str">
        <f>Investment_Master!A34</f>
        <v>INV-030</v>
      </c>
      <c r="B34" s="17" t="str">
        <f>Investment_Master!B34</f>
        <v>RPA Finance Rollout – East</v>
      </c>
      <c r="C34" s="17" t="str">
        <f>Investment_Master!C34</f>
        <v>Automation</v>
      </c>
      <c r="D34" s="17" t="str">
        <f>Investment_Master!D34</f>
        <v>IT</v>
      </c>
      <c r="E34" s="19">
        <f>Investment_Master!K34</f>
        <v>24620000</v>
      </c>
      <c r="F34" s="19">
        <f>Investment_Master!J34</f>
        <v>25230000</v>
      </c>
      <c r="G34" s="19">
        <f t="shared" si="0"/>
        <v>610000</v>
      </c>
      <c r="H34" s="20">
        <f t="shared" si="1"/>
        <v>2.4776604386677496E-2</v>
      </c>
      <c r="I34" s="17" t="str">
        <f t="shared" si="2"/>
        <v>Moderate Overrun</v>
      </c>
    </row>
    <row r="35" spans="1:9" ht="15" customHeight="1" x14ac:dyDescent="0.25">
      <c r="A35" s="17" t="str">
        <f>Investment_Master!A35</f>
        <v>INV-031</v>
      </c>
      <c r="B35" s="17" t="str">
        <f>Investment_Master!B35</f>
        <v>Leadership Development – Central</v>
      </c>
      <c r="C35" s="17" t="str">
        <f>Investment_Master!C35</f>
        <v>Training</v>
      </c>
      <c r="D35" s="17" t="str">
        <f>Investment_Master!D35</f>
        <v>Product</v>
      </c>
      <c r="E35" s="19">
        <f>Investment_Master!K35</f>
        <v>10180000</v>
      </c>
      <c r="F35" s="19">
        <f>Investment_Master!J35</f>
        <v>10930000</v>
      </c>
      <c r="G35" s="19">
        <f t="shared" si="0"/>
        <v>750000</v>
      </c>
      <c r="H35" s="20">
        <f t="shared" si="1"/>
        <v>7.3673870333988214E-2</v>
      </c>
      <c r="I35" s="17" t="str">
        <f t="shared" si="2"/>
        <v>Significant Overrun</v>
      </c>
    </row>
    <row r="36" spans="1:9" ht="15" customHeight="1" x14ac:dyDescent="0.25">
      <c r="A36" s="17" t="str">
        <f>Investment_Master!A36</f>
        <v>INV-032</v>
      </c>
      <c r="B36" s="17" t="str">
        <f>Investment_Master!B36</f>
        <v>Plant Utility Upgrade – South</v>
      </c>
      <c r="C36" s="17" t="str">
        <f>Investment_Master!C36</f>
        <v>Infrastructure</v>
      </c>
      <c r="D36" s="17" t="str">
        <f>Investment_Master!D36</f>
        <v>Marketing</v>
      </c>
      <c r="E36" s="19">
        <f>Investment_Master!K36</f>
        <v>21220000</v>
      </c>
      <c r="F36" s="19">
        <f>Investment_Master!J36</f>
        <v>19850000</v>
      </c>
      <c r="G36" s="19">
        <f t="shared" si="0"/>
        <v>-1370000</v>
      </c>
      <c r="H36" s="20">
        <f t="shared" si="1"/>
        <v>-6.4561734213006594E-2</v>
      </c>
      <c r="I36" s="17" t="str">
        <f t="shared" si="2"/>
        <v>Within Budget</v>
      </c>
    </row>
    <row r="37" spans="1:9" ht="15" customHeight="1" x14ac:dyDescent="0.25">
      <c r="A37" s="17" t="str">
        <f>Investment_Master!A37</f>
        <v>INV-033</v>
      </c>
      <c r="B37" s="17" t="str">
        <f>Investment_Master!B37</f>
        <v>ERP Cloud Migration – West</v>
      </c>
      <c r="C37" s="17" t="str">
        <f>Investment_Master!C37</f>
        <v>Technology</v>
      </c>
      <c r="D37" s="17" t="str">
        <f>Investment_Master!D37</f>
        <v>HR</v>
      </c>
      <c r="E37" s="19">
        <f>Investment_Master!K37</f>
        <v>15640000</v>
      </c>
      <c r="F37" s="19">
        <f>Investment_Master!J37</f>
        <v>15810000</v>
      </c>
      <c r="G37" s="19">
        <f t="shared" ref="G37:G68" si="3">F37-E37</f>
        <v>170000</v>
      </c>
      <c r="H37" s="20">
        <f t="shared" ref="H37:H68" si="4">IFERROR(G37/E37,0)</f>
        <v>1.0869565217391304E-2</v>
      </c>
      <c r="I37" s="17" t="str">
        <f t="shared" ref="I37:I68" si="5">IF(H37&lt;=0,"Within Budget",IF(H37&lt;=5%,"Moderate Overrun","Significant Overrun"))</f>
        <v>Moderate Overrun</v>
      </c>
    </row>
    <row r="38" spans="1:9" ht="15" customHeight="1" x14ac:dyDescent="0.25">
      <c r="A38" s="17" t="str">
        <f>Investment_Master!A38</f>
        <v>INV-034</v>
      </c>
      <c r="B38" s="17" t="str">
        <f>Investment_Master!B38</f>
        <v>Brand Repositioning – North</v>
      </c>
      <c r="C38" s="17" t="str">
        <f>Investment_Master!C38</f>
        <v>Marketing</v>
      </c>
      <c r="D38" s="17" t="str">
        <f>Investment_Master!D38</f>
        <v>Supply Chain</v>
      </c>
      <c r="E38" s="19">
        <f>Investment_Master!K38</f>
        <v>20700000</v>
      </c>
      <c r="F38" s="19">
        <f>Investment_Master!J38</f>
        <v>20530000</v>
      </c>
      <c r="G38" s="19">
        <f t="shared" si="3"/>
        <v>-170000</v>
      </c>
      <c r="H38" s="20">
        <f t="shared" si="4"/>
        <v>-8.2125603864734303E-3</v>
      </c>
      <c r="I38" s="17" t="str">
        <f t="shared" si="5"/>
        <v>Within Budget</v>
      </c>
    </row>
    <row r="39" spans="1:9" ht="15" customHeight="1" x14ac:dyDescent="0.25">
      <c r="A39" s="17" t="str">
        <f>Investment_Master!A39</f>
        <v>INV-035</v>
      </c>
      <c r="B39" s="17" t="str">
        <f>Investment_Master!B39</f>
        <v>Premium Product Line – East</v>
      </c>
      <c r="C39" s="17" t="str">
        <f>Investment_Master!C39</f>
        <v>Product Development</v>
      </c>
      <c r="D39" s="17" t="str">
        <f>Investment_Master!D39</f>
        <v>Operations</v>
      </c>
      <c r="E39" s="19">
        <f>Investment_Master!K39</f>
        <v>19710000</v>
      </c>
      <c r="F39" s="19">
        <f>Investment_Master!J39</f>
        <v>18730000</v>
      </c>
      <c r="G39" s="19">
        <f t="shared" si="3"/>
        <v>-980000</v>
      </c>
      <c r="H39" s="20">
        <f t="shared" si="4"/>
        <v>-4.9720953830542869E-2</v>
      </c>
      <c r="I39" s="17" t="str">
        <f t="shared" si="5"/>
        <v>Within Budget</v>
      </c>
    </row>
    <row r="40" spans="1:9" ht="15" customHeight="1" x14ac:dyDescent="0.25">
      <c r="A40" s="17" t="str">
        <f>Investment_Master!A40</f>
        <v>INV-036</v>
      </c>
      <c r="B40" s="17" t="str">
        <f>Investment_Master!B40</f>
        <v>Tier-2 City Expansion – Central</v>
      </c>
      <c r="C40" s="17" t="str">
        <f>Investment_Master!C40</f>
        <v>Expansion</v>
      </c>
      <c r="D40" s="17" t="str">
        <f>Investment_Master!D40</f>
        <v>Finance</v>
      </c>
      <c r="E40" s="19">
        <f>Investment_Master!K40</f>
        <v>34970000</v>
      </c>
      <c r="F40" s="19">
        <f>Investment_Master!J40</f>
        <v>34210000</v>
      </c>
      <c r="G40" s="19">
        <f t="shared" si="3"/>
        <v>-760000</v>
      </c>
      <c r="H40" s="20">
        <f t="shared" si="4"/>
        <v>-2.1732913926222477E-2</v>
      </c>
      <c r="I40" s="17" t="str">
        <f t="shared" si="5"/>
        <v>Within Budget</v>
      </c>
    </row>
    <row r="41" spans="1:9" ht="15" customHeight="1" x14ac:dyDescent="0.25">
      <c r="A41" s="17" t="str">
        <f>Investment_Master!A41</f>
        <v>INV-037</v>
      </c>
      <c r="B41" s="17" t="str">
        <f>Investment_Master!B41</f>
        <v>Automated Packaging Line – South</v>
      </c>
      <c r="C41" s="17" t="str">
        <f>Investment_Master!C41</f>
        <v>Equipment</v>
      </c>
      <c r="D41" s="17" t="str">
        <f>Investment_Master!D41</f>
        <v>Sales</v>
      </c>
      <c r="E41" s="19">
        <f>Investment_Master!K41</f>
        <v>11780000</v>
      </c>
      <c r="F41" s="19">
        <f>Investment_Master!J41</f>
        <v>11870000</v>
      </c>
      <c r="G41" s="19">
        <f t="shared" si="3"/>
        <v>90000</v>
      </c>
      <c r="H41" s="20">
        <f t="shared" si="4"/>
        <v>7.6400679117147709E-3</v>
      </c>
      <c r="I41" s="17" t="str">
        <f t="shared" si="5"/>
        <v>Moderate Overrun</v>
      </c>
    </row>
    <row r="42" spans="1:9" ht="15" customHeight="1" x14ac:dyDescent="0.25">
      <c r="A42" s="17" t="str">
        <f>Investment_Master!A42</f>
        <v>INV-038</v>
      </c>
      <c r="B42" s="17" t="str">
        <f>Investment_Master!B42</f>
        <v>RPA Finance Rollout – West</v>
      </c>
      <c r="C42" s="17" t="str">
        <f>Investment_Master!C42</f>
        <v>Automation</v>
      </c>
      <c r="D42" s="17" t="str">
        <f>Investment_Master!D42</f>
        <v>IT</v>
      </c>
      <c r="E42" s="19">
        <f>Investment_Master!K42</f>
        <v>32240000</v>
      </c>
      <c r="F42" s="19">
        <f>Investment_Master!J42</f>
        <v>31870000</v>
      </c>
      <c r="G42" s="19">
        <f t="shared" si="3"/>
        <v>-370000</v>
      </c>
      <c r="H42" s="20">
        <f t="shared" si="4"/>
        <v>-1.1476426799007445E-2</v>
      </c>
      <c r="I42" s="17" t="str">
        <f t="shared" si="5"/>
        <v>Within Budget</v>
      </c>
    </row>
    <row r="43" spans="1:9" ht="15" customHeight="1" x14ac:dyDescent="0.25">
      <c r="A43" s="17" t="str">
        <f>Investment_Master!A43</f>
        <v>INV-039</v>
      </c>
      <c r="B43" s="17" t="str">
        <f>Investment_Master!B43</f>
        <v>Leadership Development – North</v>
      </c>
      <c r="C43" s="17" t="str">
        <f>Investment_Master!C43</f>
        <v>Training</v>
      </c>
      <c r="D43" s="17" t="str">
        <f>Investment_Master!D43</f>
        <v>Product</v>
      </c>
      <c r="E43" s="19">
        <f>Investment_Master!K43</f>
        <v>11920000</v>
      </c>
      <c r="F43" s="19">
        <f>Investment_Master!J43</f>
        <v>11700000</v>
      </c>
      <c r="G43" s="19">
        <f t="shared" si="3"/>
        <v>-220000</v>
      </c>
      <c r="H43" s="20">
        <f t="shared" si="4"/>
        <v>-1.8456375838926176E-2</v>
      </c>
      <c r="I43" s="17" t="str">
        <f t="shared" si="5"/>
        <v>Within Budget</v>
      </c>
    </row>
    <row r="44" spans="1:9" ht="15" customHeight="1" x14ac:dyDescent="0.25">
      <c r="A44" s="17" t="str">
        <f>Investment_Master!A44</f>
        <v>INV-040</v>
      </c>
      <c r="B44" s="17" t="str">
        <f>Investment_Master!B44</f>
        <v>Plant Utility Upgrade – East</v>
      </c>
      <c r="C44" s="17" t="str">
        <f>Investment_Master!C44</f>
        <v>Infrastructure</v>
      </c>
      <c r="D44" s="17" t="str">
        <f>Investment_Master!D44</f>
        <v>Marketing</v>
      </c>
      <c r="E44" s="19">
        <f>Investment_Master!K44</f>
        <v>42740000</v>
      </c>
      <c r="F44" s="19">
        <f>Investment_Master!J44</f>
        <v>42930000</v>
      </c>
      <c r="G44" s="19">
        <f t="shared" si="3"/>
        <v>190000</v>
      </c>
      <c r="H44" s="20">
        <f t="shared" si="4"/>
        <v>4.4454843238184369E-3</v>
      </c>
      <c r="I44" s="17" t="str">
        <f t="shared" si="5"/>
        <v>Moderate Overrun</v>
      </c>
    </row>
    <row r="45" spans="1:9" ht="15" customHeight="1" x14ac:dyDescent="0.25">
      <c r="A45" s="17" t="str">
        <f>Investment_Master!A45</f>
        <v>INV-041</v>
      </c>
      <c r="B45" s="17" t="str">
        <f>Investment_Master!B45</f>
        <v>ERP Cloud Migration – Central</v>
      </c>
      <c r="C45" s="17" t="str">
        <f>Investment_Master!C45</f>
        <v>Technology</v>
      </c>
      <c r="D45" s="17" t="str">
        <f>Investment_Master!D45</f>
        <v>HR</v>
      </c>
      <c r="E45" s="19">
        <f>Investment_Master!K45</f>
        <v>35160000</v>
      </c>
      <c r="F45" s="19">
        <f>Investment_Master!J45</f>
        <v>37920000</v>
      </c>
      <c r="G45" s="19">
        <f t="shared" si="3"/>
        <v>2760000</v>
      </c>
      <c r="H45" s="20">
        <f t="shared" si="4"/>
        <v>7.8498293515358364E-2</v>
      </c>
      <c r="I45" s="17" t="str">
        <f t="shared" si="5"/>
        <v>Significant Overrun</v>
      </c>
    </row>
    <row r="46" spans="1:9" ht="15" customHeight="1" x14ac:dyDescent="0.25">
      <c r="A46" s="17" t="str">
        <f>Investment_Master!A46</f>
        <v>INV-042</v>
      </c>
      <c r="B46" s="17" t="str">
        <f>Investment_Master!B46</f>
        <v>Brand Repositioning – South</v>
      </c>
      <c r="C46" s="17" t="str">
        <f>Investment_Master!C46</f>
        <v>Marketing</v>
      </c>
      <c r="D46" s="17" t="str">
        <f>Investment_Master!D46</f>
        <v>Supply Chain</v>
      </c>
      <c r="E46" s="19">
        <f>Investment_Master!K46</f>
        <v>8020000</v>
      </c>
      <c r="F46" s="19">
        <f>Investment_Master!J46</f>
        <v>7550000</v>
      </c>
      <c r="G46" s="19">
        <f t="shared" si="3"/>
        <v>-470000</v>
      </c>
      <c r="H46" s="20">
        <f t="shared" si="4"/>
        <v>-5.8603491271820449E-2</v>
      </c>
      <c r="I46" s="17" t="str">
        <f t="shared" si="5"/>
        <v>Within Budget</v>
      </c>
    </row>
    <row r="47" spans="1:9" ht="15" customHeight="1" x14ac:dyDescent="0.25">
      <c r="A47" s="17" t="str">
        <f>Investment_Master!A47</f>
        <v>INV-043</v>
      </c>
      <c r="B47" s="17" t="str">
        <f>Investment_Master!B47</f>
        <v>Premium Product Line – West</v>
      </c>
      <c r="C47" s="17" t="str">
        <f>Investment_Master!C47</f>
        <v>Product Development</v>
      </c>
      <c r="D47" s="17" t="str">
        <f>Investment_Master!D47</f>
        <v>Operations</v>
      </c>
      <c r="E47" s="19">
        <f>Investment_Master!K47</f>
        <v>27900000</v>
      </c>
      <c r="F47" s="19">
        <f>Investment_Master!J47</f>
        <v>30280000</v>
      </c>
      <c r="G47" s="19">
        <f t="shared" si="3"/>
        <v>2380000</v>
      </c>
      <c r="H47" s="20">
        <f t="shared" si="4"/>
        <v>8.5304659498207883E-2</v>
      </c>
      <c r="I47" s="17" t="str">
        <f t="shared" si="5"/>
        <v>Significant Overrun</v>
      </c>
    </row>
    <row r="48" spans="1:9" ht="15" customHeight="1" x14ac:dyDescent="0.25">
      <c r="A48" s="17" t="str">
        <f>Investment_Master!A48</f>
        <v>INV-044</v>
      </c>
      <c r="B48" s="17" t="str">
        <f>Investment_Master!B48</f>
        <v>Tier-2 City Expansion – North</v>
      </c>
      <c r="C48" s="17" t="str">
        <f>Investment_Master!C48</f>
        <v>Expansion</v>
      </c>
      <c r="D48" s="17" t="str">
        <f>Investment_Master!D48</f>
        <v>Finance</v>
      </c>
      <c r="E48" s="19">
        <f>Investment_Master!K48</f>
        <v>31600000</v>
      </c>
      <c r="F48" s="19">
        <f>Investment_Master!J48</f>
        <v>29100000</v>
      </c>
      <c r="G48" s="19">
        <f t="shared" si="3"/>
        <v>-2500000</v>
      </c>
      <c r="H48" s="20">
        <f t="shared" si="4"/>
        <v>-7.9113924050632917E-2</v>
      </c>
      <c r="I48" s="17" t="str">
        <f t="shared" si="5"/>
        <v>Within Budget</v>
      </c>
    </row>
    <row r="49" spans="1:9" ht="15" customHeight="1" x14ac:dyDescent="0.25">
      <c r="A49" s="17" t="str">
        <f>Investment_Master!A49</f>
        <v>INV-045</v>
      </c>
      <c r="B49" s="17" t="str">
        <f>Investment_Master!B49</f>
        <v>Automated Packaging Line – East</v>
      </c>
      <c r="C49" s="17" t="str">
        <f>Investment_Master!C49</f>
        <v>Equipment</v>
      </c>
      <c r="D49" s="17" t="str">
        <f>Investment_Master!D49</f>
        <v>Sales</v>
      </c>
      <c r="E49" s="19">
        <f>Investment_Master!K49</f>
        <v>32910000</v>
      </c>
      <c r="F49" s="19">
        <f>Investment_Master!J49</f>
        <v>33850000</v>
      </c>
      <c r="G49" s="19">
        <f t="shared" si="3"/>
        <v>940000</v>
      </c>
      <c r="H49" s="20">
        <f t="shared" si="4"/>
        <v>2.8562746885445155E-2</v>
      </c>
      <c r="I49" s="17" t="str">
        <f t="shared" si="5"/>
        <v>Moderate Overrun</v>
      </c>
    </row>
    <row r="50" spans="1:9" ht="15" customHeight="1" x14ac:dyDescent="0.25">
      <c r="A50" s="17" t="str">
        <f>Investment_Master!A50</f>
        <v>INV-046</v>
      </c>
      <c r="B50" s="17" t="str">
        <f>Investment_Master!B50</f>
        <v>RPA Finance Rollout – Central</v>
      </c>
      <c r="C50" s="17" t="str">
        <f>Investment_Master!C50</f>
        <v>Automation</v>
      </c>
      <c r="D50" s="17" t="str">
        <f>Investment_Master!D50</f>
        <v>IT</v>
      </c>
      <c r="E50" s="19">
        <f>Investment_Master!K50</f>
        <v>13580000</v>
      </c>
      <c r="F50" s="19">
        <f>Investment_Master!J50</f>
        <v>13720000</v>
      </c>
      <c r="G50" s="19">
        <f t="shared" si="3"/>
        <v>140000</v>
      </c>
      <c r="H50" s="20">
        <f t="shared" si="4"/>
        <v>1.0309278350515464E-2</v>
      </c>
      <c r="I50" s="17" t="str">
        <f t="shared" si="5"/>
        <v>Moderate Overrun</v>
      </c>
    </row>
    <row r="51" spans="1:9" ht="15" customHeight="1" x14ac:dyDescent="0.25">
      <c r="A51" s="17" t="str">
        <f>Investment_Master!A51</f>
        <v>INV-047</v>
      </c>
      <c r="B51" s="17" t="str">
        <f>Investment_Master!B51</f>
        <v>Leadership Development – South</v>
      </c>
      <c r="C51" s="17" t="str">
        <f>Investment_Master!C51</f>
        <v>Training</v>
      </c>
      <c r="D51" s="17" t="str">
        <f>Investment_Master!D51</f>
        <v>Product</v>
      </c>
      <c r="E51" s="19">
        <f>Investment_Master!K51</f>
        <v>2480000</v>
      </c>
      <c r="F51" s="19">
        <f>Investment_Master!J51</f>
        <v>2590000</v>
      </c>
      <c r="G51" s="19">
        <f t="shared" si="3"/>
        <v>110000</v>
      </c>
      <c r="H51" s="20">
        <f t="shared" si="4"/>
        <v>4.4354838709677422E-2</v>
      </c>
      <c r="I51" s="17" t="str">
        <f t="shared" si="5"/>
        <v>Moderate Overrun</v>
      </c>
    </row>
    <row r="52" spans="1:9" ht="15" customHeight="1" x14ac:dyDescent="0.25">
      <c r="A52" s="17" t="str">
        <f>Investment_Master!A52</f>
        <v>INV-048</v>
      </c>
      <c r="B52" s="17" t="str">
        <f>Investment_Master!B52</f>
        <v>Plant Utility Upgrade – West</v>
      </c>
      <c r="C52" s="17" t="str">
        <f>Investment_Master!C52</f>
        <v>Infrastructure</v>
      </c>
      <c r="D52" s="17" t="str">
        <f>Investment_Master!D52</f>
        <v>Marketing</v>
      </c>
      <c r="E52" s="19">
        <f>Investment_Master!K52</f>
        <v>16980000</v>
      </c>
      <c r="F52" s="19">
        <f>Investment_Master!J52</f>
        <v>18450000</v>
      </c>
      <c r="G52" s="19">
        <f t="shared" si="3"/>
        <v>1470000</v>
      </c>
      <c r="H52" s="20">
        <f t="shared" si="4"/>
        <v>8.6572438162544174E-2</v>
      </c>
      <c r="I52" s="17" t="str">
        <f t="shared" si="5"/>
        <v>Significant Overrun</v>
      </c>
    </row>
    <row r="53" spans="1:9" ht="15" customHeight="1" x14ac:dyDescent="0.25">
      <c r="A53" s="17" t="str">
        <f>Investment_Master!A53</f>
        <v>INV-049</v>
      </c>
      <c r="B53" s="17" t="str">
        <f>Investment_Master!B53</f>
        <v>ERP Cloud Migration – North</v>
      </c>
      <c r="C53" s="17" t="str">
        <f>Investment_Master!C53</f>
        <v>Technology</v>
      </c>
      <c r="D53" s="17" t="str">
        <f>Investment_Master!D53</f>
        <v>HR</v>
      </c>
      <c r="E53" s="19">
        <f>Investment_Master!K53</f>
        <v>15790000</v>
      </c>
      <c r="F53" s="19">
        <f>Investment_Master!J53</f>
        <v>16470000</v>
      </c>
      <c r="G53" s="19">
        <f t="shared" si="3"/>
        <v>680000</v>
      </c>
      <c r="H53" s="20">
        <f t="shared" si="4"/>
        <v>4.3065231158961367E-2</v>
      </c>
      <c r="I53" s="17" t="str">
        <f t="shared" si="5"/>
        <v>Moderate Overrun</v>
      </c>
    </row>
    <row r="54" spans="1:9" ht="15" customHeight="1" x14ac:dyDescent="0.25">
      <c r="A54" s="17" t="str">
        <f>Investment_Master!A54</f>
        <v>INV-050</v>
      </c>
      <c r="B54" s="17" t="str">
        <f>Investment_Master!B54</f>
        <v>Brand Repositioning – East</v>
      </c>
      <c r="C54" s="17" t="str">
        <f>Investment_Master!C54</f>
        <v>Marketing</v>
      </c>
      <c r="D54" s="17" t="str">
        <f>Investment_Master!D54</f>
        <v>Supply Chain</v>
      </c>
      <c r="E54" s="19">
        <f>Investment_Master!K54</f>
        <v>12540000</v>
      </c>
      <c r="F54" s="19">
        <f>Investment_Master!J54</f>
        <v>12120000</v>
      </c>
      <c r="G54" s="19">
        <f t="shared" si="3"/>
        <v>-420000</v>
      </c>
      <c r="H54" s="20">
        <f t="shared" si="4"/>
        <v>-3.3492822966507178E-2</v>
      </c>
      <c r="I54" s="17" t="str">
        <f t="shared" si="5"/>
        <v>Within Budget</v>
      </c>
    </row>
    <row r="55" spans="1:9" ht="15" customHeight="1" x14ac:dyDescent="0.25">
      <c r="A55" s="17" t="str">
        <f>Investment_Master!A55</f>
        <v>INV-051</v>
      </c>
      <c r="B55" s="17" t="str">
        <f>Investment_Master!B55</f>
        <v>Premium Product Line – Central</v>
      </c>
      <c r="C55" s="17" t="str">
        <f>Investment_Master!C55</f>
        <v>Product Development</v>
      </c>
      <c r="D55" s="17" t="str">
        <f>Investment_Master!D55</f>
        <v>Operations</v>
      </c>
      <c r="E55" s="19">
        <f>Investment_Master!K55</f>
        <v>22910000</v>
      </c>
      <c r="F55" s="19">
        <f>Investment_Master!J55</f>
        <v>23560000</v>
      </c>
      <c r="G55" s="19">
        <f t="shared" si="3"/>
        <v>650000</v>
      </c>
      <c r="H55" s="20">
        <f t="shared" si="4"/>
        <v>2.8371890004364905E-2</v>
      </c>
      <c r="I55" s="17" t="str">
        <f t="shared" si="5"/>
        <v>Moderate Overrun</v>
      </c>
    </row>
    <row r="56" spans="1:9" ht="15" customHeight="1" x14ac:dyDescent="0.25">
      <c r="A56" s="17" t="str">
        <f>Investment_Master!A56</f>
        <v>INV-052</v>
      </c>
      <c r="B56" s="17" t="str">
        <f>Investment_Master!B56</f>
        <v>Tier-2 City Expansion – South</v>
      </c>
      <c r="C56" s="17" t="str">
        <f>Investment_Master!C56</f>
        <v>Expansion</v>
      </c>
      <c r="D56" s="17" t="str">
        <f>Investment_Master!D56</f>
        <v>Finance</v>
      </c>
      <c r="E56" s="19">
        <f>Investment_Master!K56</f>
        <v>47560000</v>
      </c>
      <c r="F56" s="19">
        <f>Investment_Master!J56</f>
        <v>47240000</v>
      </c>
      <c r="G56" s="19">
        <f t="shared" si="3"/>
        <v>-320000</v>
      </c>
      <c r="H56" s="20">
        <f t="shared" si="4"/>
        <v>-6.7283431455004202E-3</v>
      </c>
      <c r="I56" s="17" t="str">
        <f t="shared" si="5"/>
        <v>Within Budget</v>
      </c>
    </row>
    <row r="57" spans="1:9" ht="15" customHeight="1" x14ac:dyDescent="0.25">
      <c r="A57" s="17" t="str">
        <f>Investment_Master!A57</f>
        <v>INV-053</v>
      </c>
      <c r="B57" s="17" t="str">
        <f>Investment_Master!B57</f>
        <v>Automated Packaging Line – West</v>
      </c>
      <c r="C57" s="17" t="str">
        <f>Investment_Master!C57</f>
        <v>Equipment</v>
      </c>
      <c r="D57" s="17" t="str">
        <f>Investment_Master!D57</f>
        <v>Sales</v>
      </c>
      <c r="E57" s="19">
        <f>Investment_Master!K57</f>
        <v>29880000</v>
      </c>
      <c r="F57" s="19">
        <f>Investment_Master!J57</f>
        <v>30060000</v>
      </c>
      <c r="G57" s="19">
        <f t="shared" si="3"/>
        <v>180000</v>
      </c>
      <c r="H57" s="20">
        <f t="shared" si="4"/>
        <v>6.024096385542169E-3</v>
      </c>
      <c r="I57" s="17" t="str">
        <f t="shared" si="5"/>
        <v>Moderate Overrun</v>
      </c>
    </row>
    <row r="58" spans="1:9" ht="15" customHeight="1" x14ac:dyDescent="0.25">
      <c r="A58" s="17" t="str">
        <f>Investment_Master!A58</f>
        <v>INV-054</v>
      </c>
      <c r="B58" s="17" t="str">
        <f>Investment_Master!B58</f>
        <v>RPA Finance Rollout – North</v>
      </c>
      <c r="C58" s="17" t="str">
        <f>Investment_Master!C58</f>
        <v>Automation</v>
      </c>
      <c r="D58" s="17" t="str">
        <f>Investment_Master!D58</f>
        <v>IT</v>
      </c>
      <c r="E58" s="19">
        <f>Investment_Master!K58</f>
        <v>29580000</v>
      </c>
      <c r="F58" s="19">
        <f>Investment_Master!J58</f>
        <v>31570000</v>
      </c>
      <c r="G58" s="19">
        <f t="shared" si="3"/>
        <v>1990000</v>
      </c>
      <c r="H58" s="20">
        <f t="shared" si="4"/>
        <v>6.7275185936443549E-2</v>
      </c>
      <c r="I58" s="17" t="str">
        <f t="shared" si="5"/>
        <v>Significant Overrun</v>
      </c>
    </row>
    <row r="59" spans="1:9" ht="15" customHeight="1" x14ac:dyDescent="0.25">
      <c r="A59" s="17" t="str">
        <f>Investment_Master!A59</f>
        <v>INV-055</v>
      </c>
      <c r="B59" s="17" t="str">
        <f>Investment_Master!B59</f>
        <v>Leadership Development – East</v>
      </c>
      <c r="C59" s="17" t="str">
        <f>Investment_Master!C59</f>
        <v>Training</v>
      </c>
      <c r="D59" s="17" t="str">
        <f>Investment_Master!D59</f>
        <v>Product</v>
      </c>
      <c r="E59" s="19">
        <f>Investment_Master!K59</f>
        <v>8650000</v>
      </c>
      <c r="F59" s="19">
        <f>Investment_Master!J59</f>
        <v>7880000</v>
      </c>
      <c r="G59" s="19">
        <f t="shared" si="3"/>
        <v>-770000</v>
      </c>
      <c r="H59" s="20">
        <f t="shared" si="4"/>
        <v>-8.9017341040462425E-2</v>
      </c>
      <c r="I59" s="17" t="str">
        <f t="shared" si="5"/>
        <v>Within Budget</v>
      </c>
    </row>
    <row r="60" spans="1:9" ht="15" customHeight="1" x14ac:dyDescent="0.25">
      <c r="A60" s="17" t="str">
        <f>Investment_Master!A60</f>
        <v>INV-056</v>
      </c>
      <c r="B60" s="17" t="str">
        <f>Investment_Master!B60</f>
        <v>Plant Utility Upgrade – Central</v>
      </c>
      <c r="C60" s="17" t="str">
        <f>Investment_Master!C60</f>
        <v>Infrastructure</v>
      </c>
      <c r="D60" s="17" t="str">
        <f>Investment_Master!D60</f>
        <v>Marketing</v>
      </c>
      <c r="E60" s="19">
        <f>Investment_Master!K60</f>
        <v>58430000</v>
      </c>
      <c r="F60" s="19">
        <f>Investment_Master!J60</f>
        <v>59340000</v>
      </c>
      <c r="G60" s="19">
        <f t="shared" si="3"/>
        <v>910000</v>
      </c>
      <c r="H60" s="20">
        <f t="shared" si="4"/>
        <v>1.5574191340065035E-2</v>
      </c>
      <c r="I60" s="17" t="str">
        <f t="shared" si="5"/>
        <v>Moderate Overrun</v>
      </c>
    </row>
    <row r="61" spans="1:9" ht="15" customHeight="1" x14ac:dyDescent="0.25">
      <c r="A61" s="17" t="str">
        <f>Investment_Master!A61</f>
        <v>INV-057</v>
      </c>
      <c r="B61" s="17" t="str">
        <f>Investment_Master!B61</f>
        <v>ERP Cloud Migration – South</v>
      </c>
      <c r="C61" s="17" t="str">
        <f>Investment_Master!C61</f>
        <v>Technology</v>
      </c>
      <c r="D61" s="17" t="str">
        <f>Investment_Master!D61</f>
        <v>HR</v>
      </c>
      <c r="E61" s="19">
        <f>Investment_Master!K61</f>
        <v>13070000</v>
      </c>
      <c r="F61" s="19">
        <f>Investment_Master!J61</f>
        <v>13950000</v>
      </c>
      <c r="G61" s="19">
        <f t="shared" si="3"/>
        <v>880000</v>
      </c>
      <c r="H61" s="20">
        <f t="shared" si="4"/>
        <v>6.7329762815608263E-2</v>
      </c>
      <c r="I61" s="17" t="str">
        <f t="shared" si="5"/>
        <v>Significant Overrun</v>
      </c>
    </row>
    <row r="62" spans="1:9" ht="15" customHeight="1" x14ac:dyDescent="0.25">
      <c r="A62" s="17" t="str">
        <f>Investment_Master!A62</f>
        <v>INV-058</v>
      </c>
      <c r="B62" s="17" t="str">
        <f>Investment_Master!B62</f>
        <v>Brand Repositioning – West</v>
      </c>
      <c r="C62" s="17" t="str">
        <f>Investment_Master!C62</f>
        <v>Marketing</v>
      </c>
      <c r="D62" s="17" t="str">
        <f>Investment_Master!D62</f>
        <v>Supply Chain</v>
      </c>
      <c r="E62" s="19">
        <f>Investment_Master!K62</f>
        <v>5830000</v>
      </c>
      <c r="F62" s="19">
        <f>Investment_Master!J62</f>
        <v>5930000</v>
      </c>
      <c r="G62" s="19">
        <f t="shared" si="3"/>
        <v>100000</v>
      </c>
      <c r="H62" s="20">
        <f t="shared" si="4"/>
        <v>1.7152658662092625E-2</v>
      </c>
      <c r="I62" s="17" t="str">
        <f t="shared" si="5"/>
        <v>Moderate Overrun</v>
      </c>
    </row>
    <row r="63" spans="1:9" ht="15" customHeight="1" x14ac:dyDescent="0.25">
      <c r="A63" s="17" t="str">
        <f>Investment_Master!A63</f>
        <v>INV-059</v>
      </c>
      <c r="B63" s="17" t="str">
        <f>Investment_Master!B63</f>
        <v>Premium Product Line – North</v>
      </c>
      <c r="C63" s="17" t="str">
        <f>Investment_Master!C63</f>
        <v>Product Development</v>
      </c>
      <c r="D63" s="17" t="str">
        <f>Investment_Master!D63</f>
        <v>Operations</v>
      </c>
      <c r="E63" s="19">
        <f>Investment_Master!K63</f>
        <v>22700000</v>
      </c>
      <c r="F63" s="19">
        <f>Investment_Master!J63</f>
        <v>24080000</v>
      </c>
      <c r="G63" s="19">
        <f t="shared" si="3"/>
        <v>1380000</v>
      </c>
      <c r="H63" s="20">
        <f t="shared" si="4"/>
        <v>6.0792951541850222E-2</v>
      </c>
      <c r="I63" s="17" t="str">
        <f t="shared" si="5"/>
        <v>Significant Overrun</v>
      </c>
    </row>
    <row r="64" spans="1:9" ht="15" customHeight="1" x14ac:dyDescent="0.25">
      <c r="A64" s="17" t="str">
        <f>Investment_Master!A64</f>
        <v>INV-060</v>
      </c>
      <c r="B64" s="17" t="str">
        <f>Investment_Master!B64</f>
        <v>Tier-2 City Expansion – East</v>
      </c>
      <c r="C64" s="17" t="str">
        <f>Investment_Master!C64</f>
        <v>Expansion</v>
      </c>
      <c r="D64" s="17" t="str">
        <f>Investment_Master!D64</f>
        <v>Finance</v>
      </c>
      <c r="E64" s="19">
        <f>Investment_Master!K64</f>
        <v>42120000</v>
      </c>
      <c r="F64" s="19">
        <f>Investment_Master!J64</f>
        <v>41450000</v>
      </c>
      <c r="G64" s="19">
        <f t="shared" si="3"/>
        <v>-670000</v>
      </c>
      <c r="H64" s="20">
        <f t="shared" si="4"/>
        <v>-1.590693257359924E-2</v>
      </c>
      <c r="I64" s="17" t="str">
        <f t="shared" si="5"/>
        <v>Within Budget</v>
      </c>
    </row>
    <row r="65" spans="1:9" ht="15" customHeight="1" x14ac:dyDescent="0.25">
      <c r="A65" s="17" t="str">
        <f>Investment_Master!A65</f>
        <v>INV-061</v>
      </c>
      <c r="B65" s="17" t="str">
        <f>Investment_Master!B65</f>
        <v>Automated Packaging Line – Central</v>
      </c>
      <c r="C65" s="17" t="str">
        <f>Investment_Master!C65</f>
        <v>Equipment</v>
      </c>
      <c r="D65" s="17" t="str">
        <f>Investment_Master!D65</f>
        <v>Sales</v>
      </c>
      <c r="E65" s="19">
        <f>Investment_Master!K65</f>
        <v>44050000</v>
      </c>
      <c r="F65" s="19">
        <f>Investment_Master!J65</f>
        <v>43790000</v>
      </c>
      <c r="G65" s="19">
        <f t="shared" si="3"/>
        <v>-260000</v>
      </c>
      <c r="H65" s="20">
        <f t="shared" si="4"/>
        <v>-5.902383654937571E-3</v>
      </c>
      <c r="I65" s="17" t="str">
        <f t="shared" si="5"/>
        <v>Within Budget</v>
      </c>
    </row>
    <row r="66" spans="1:9" ht="15" customHeight="1" x14ac:dyDescent="0.25">
      <c r="A66" s="17" t="str">
        <f>Investment_Master!A66</f>
        <v>INV-062</v>
      </c>
      <c r="B66" s="17" t="str">
        <f>Investment_Master!B66</f>
        <v>RPA Finance Rollout – South</v>
      </c>
      <c r="C66" s="17" t="str">
        <f>Investment_Master!C66</f>
        <v>Automation</v>
      </c>
      <c r="D66" s="17" t="str">
        <f>Investment_Master!D66</f>
        <v>IT</v>
      </c>
      <c r="E66" s="19">
        <f>Investment_Master!K66</f>
        <v>13220000</v>
      </c>
      <c r="F66" s="19">
        <f>Investment_Master!J66</f>
        <v>13470000</v>
      </c>
      <c r="G66" s="19">
        <f t="shared" si="3"/>
        <v>250000</v>
      </c>
      <c r="H66" s="20">
        <f t="shared" si="4"/>
        <v>1.8910741301059002E-2</v>
      </c>
      <c r="I66" s="17" t="str">
        <f t="shared" si="5"/>
        <v>Moderate Overrun</v>
      </c>
    </row>
    <row r="67" spans="1:9" ht="15" customHeight="1" x14ac:dyDescent="0.25">
      <c r="A67" s="17" t="str">
        <f>Investment_Master!A67</f>
        <v>INV-063</v>
      </c>
      <c r="B67" s="17" t="str">
        <f>Investment_Master!B67</f>
        <v>Leadership Development – West</v>
      </c>
      <c r="C67" s="17" t="str">
        <f>Investment_Master!C67</f>
        <v>Training</v>
      </c>
      <c r="D67" s="17" t="str">
        <f>Investment_Master!D67</f>
        <v>Product</v>
      </c>
      <c r="E67" s="19">
        <f>Investment_Master!K67</f>
        <v>8680000</v>
      </c>
      <c r="F67" s="19">
        <f>Investment_Master!J67</f>
        <v>7950000</v>
      </c>
      <c r="G67" s="19">
        <f t="shared" si="3"/>
        <v>-730000</v>
      </c>
      <c r="H67" s="20">
        <f t="shared" si="4"/>
        <v>-8.4101382488479259E-2</v>
      </c>
      <c r="I67" s="17" t="str">
        <f t="shared" si="5"/>
        <v>Within Budget</v>
      </c>
    </row>
    <row r="68" spans="1:9" ht="15" customHeight="1" x14ac:dyDescent="0.25">
      <c r="A68" s="17" t="str">
        <f>Investment_Master!A68</f>
        <v>INV-064</v>
      </c>
      <c r="B68" s="17" t="str">
        <f>Investment_Master!B68</f>
        <v>Plant Utility Upgrade – North</v>
      </c>
      <c r="C68" s="17" t="str">
        <f>Investment_Master!C68</f>
        <v>Infrastructure</v>
      </c>
      <c r="D68" s="17" t="str">
        <f>Investment_Master!D68</f>
        <v>Marketing</v>
      </c>
      <c r="E68" s="19">
        <f>Investment_Master!K68</f>
        <v>37890000</v>
      </c>
      <c r="F68" s="19">
        <f>Investment_Master!J68</f>
        <v>39160000</v>
      </c>
      <c r="G68" s="19">
        <f t="shared" si="3"/>
        <v>1270000</v>
      </c>
      <c r="H68" s="20">
        <f t="shared" si="4"/>
        <v>3.351807864871998E-2</v>
      </c>
      <c r="I68" s="17" t="str">
        <f t="shared" si="5"/>
        <v>Moderate Overrun</v>
      </c>
    </row>
    <row r="69" spans="1:9" ht="15" customHeight="1" x14ac:dyDescent="0.25">
      <c r="A69" s="17" t="str">
        <f>Investment_Master!A69</f>
        <v>INV-065</v>
      </c>
      <c r="B69" s="17" t="str">
        <f>Investment_Master!B69</f>
        <v>ERP Cloud Migration – East</v>
      </c>
      <c r="C69" s="17" t="str">
        <f>Investment_Master!C69</f>
        <v>Technology</v>
      </c>
      <c r="D69" s="17" t="str">
        <f>Investment_Master!D69</f>
        <v>HR</v>
      </c>
      <c r="E69" s="19">
        <f>Investment_Master!K69</f>
        <v>34870000</v>
      </c>
      <c r="F69" s="19">
        <f>Investment_Master!J69</f>
        <v>35300000</v>
      </c>
      <c r="G69" s="19">
        <f t="shared" ref="G69:G100" si="6">F69-E69</f>
        <v>430000</v>
      </c>
      <c r="H69" s="20">
        <f t="shared" ref="H69:H100" si="7">IFERROR(G69/E69,0)</f>
        <v>1.2331517063378263E-2</v>
      </c>
      <c r="I69" s="17" t="str">
        <f t="shared" ref="I69:I100" si="8">IF(H69&lt;=0,"Within Budget",IF(H69&lt;=5%,"Moderate Overrun","Significant Overrun"))</f>
        <v>Moderate Overrun</v>
      </c>
    </row>
    <row r="70" spans="1:9" ht="15" customHeight="1" x14ac:dyDescent="0.25">
      <c r="A70" s="17" t="str">
        <f>Investment_Master!A70</f>
        <v>INV-066</v>
      </c>
      <c r="B70" s="17" t="str">
        <f>Investment_Master!B70</f>
        <v>Brand Repositioning – Central</v>
      </c>
      <c r="C70" s="17" t="str">
        <f>Investment_Master!C70</f>
        <v>Marketing</v>
      </c>
      <c r="D70" s="17" t="str">
        <f>Investment_Master!D70</f>
        <v>Supply Chain</v>
      </c>
      <c r="E70" s="19">
        <f>Investment_Master!K70</f>
        <v>14390000</v>
      </c>
      <c r="F70" s="19">
        <f>Investment_Master!J70</f>
        <v>14560000</v>
      </c>
      <c r="G70" s="19">
        <f t="shared" si="6"/>
        <v>170000</v>
      </c>
      <c r="H70" s="20">
        <f t="shared" si="7"/>
        <v>1.1813759555246699E-2</v>
      </c>
      <c r="I70" s="17" t="str">
        <f t="shared" si="8"/>
        <v>Moderate Overrun</v>
      </c>
    </row>
    <row r="71" spans="1:9" ht="15" customHeight="1" x14ac:dyDescent="0.25">
      <c r="A71" s="17" t="str">
        <f>Investment_Master!A71</f>
        <v>INV-067</v>
      </c>
      <c r="B71" s="17" t="str">
        <f>Investment_Master!B71</f>
        <v>Premium Product Line – South</v>
      </c>
      <c r="C71" s="17" t="str">
        <f>Investment_Master!C71</f>
        <v>Product Development</v>
      </c>
      <c r="D71" s="17" t="str">
        <f>Investment_Master!D71</f>
        <v>Operations</v>
      </c>
      <c r="E71" s="19">
        <f>Investment_Master!K71</f>
        <v>44500000</v>
      </c>
      <c r="F71" s="19">
        <f>Investment_Master!J71</f>
        <v>44730000</v>
      </c>
      <c r="G71" s="19">
        <f t="shared" si="6"/>
        <v>230000</v>
      </c>
      <c r="H71" s="20">
        <f t="shared" si="7"/>
        <v>5.1685393258426963E-3</v>
      </c>
      <c r="I71" s="17" t="str">
        <f t="shared" si="8"/>
        <v>Moderate Overrun</v>
      </c>
    </row>
    <row r="72" spans="1:9" ht="15" customHeight="1" x14ac:dyDescent="0.25">
      <c r="A72" s="17" t="str">
        <f>Investment_Master!A72</f>
        <v>INV-068</v>
      </c>
      <c r="B72" s="17" t="str">
        <f>Investment_Master!B72</f>
        <v>Tier-2 City Expansion – West</v>
      </c>
      <c r="C72" s="17" t="str">
        <f>Investment_Master!C72</f>
        <v>Expansion</v>
      </c>
      <c r="D72" s="17" t="str">
        <f>Investment_Master!D72</f>
        <v>Finance</v>
      </c>
      <c r="E72" s="19">
        <f>Investment_Master!K72</f>
        <v>40250000</v>
      </c>
      <c r="F72" s="19">
        <f>Investment_Master!J72</f>
        <v>40500000</v>
      </c>
      <c r="G72" s="19">
        <f t="shared" si="6"/>
        <v>250000</v>
      </c>
      <c r="H72" s="20">
        <f t="shared" si="7"/>
        <v>6.2111801242236021E-3</v>
      </c>
      <c r="I72" s="17" t="str">
        <f t="shared" si="8"/>
        <v>Moderate Overrun</v>
      </c>
    </row>
    <row r="73" spans="1:9" ht="15" customHeight="1" x14ac:dyDescent="0.25">
      <c r="A73" s="17" t="str">
        <f>Investment_Master!A73</f>
        <v>INV-069</v>
      </c>
      <c r="B73" s="17" t="str">
        <f>Investment_Master!B73</f>
        <v>Automated Packaging Line – North</v>
      </c>
      <c r="C73" s="17" t="str">
        <f>Investment_Master!C73</f>
        <v>Equipment</v>
      </c>
      <c r="D73" s="17" t="str">
        <f>Investment_Master!D73</f>
        <v>Sales</v>
      </c>
      <c r="E73" s="19">
        <f>Investment_Master!K73</f>
        <v>22830000</v>
      </c>
      <c r="F73" s="19">
        <f>Investment_Master!J73</f>
        <v>23270000</v>
      </c>
      <c r="G73" s="19">
        <f t="shared" si="6"/>
        <v>440000</v>
      </c>
      <c r="H73" s="20">
        <f t="shared" si="7"/>
        <v>1.9272886552781428E-2</v>
      </c>
      <c r="I73" s="17" t="str">
        <f t="shared" si="8"/>
        <v>Moderate Overrun</v>
      </c>
    </row>
    <row r="74" spans="1:9" ht="15" customHeight="1" x14ac:dyDescent="0.25">
      <c r="A74" s="17" t="str">
        <f>Investment_Master!A74</f>
        <v>INV-070</v>
      </c>
      <c r="B74" s="17" t="str">
        <f>Investment_Master!B74</f>
        <v>RPA Finance Rollout – East</v>
      </c>
      <c r="C74" s="17" t="str">
        <f>Investment_Master!C74</f>
        <v>Automation</v>
      </c>
      <c r="D74" s="17" t="str">
        <f>Investment_Master!D74</f>
        <v>IT</v>
      </c>
      <c r="E74" s="19">
        <f>Investment_Master!K74</f>
        <v>32340000</v>
      </c>
      <c r="F74" s="19">
        <f>Investment_Master!J74</f>
        <v>30070000</v>
      </c>
      <c r="G74" s="19">
        <f t="shared" si="6"/>
        <v>-2270000</v>
      </c>
      <c r="H74" s="20">
        <f t="shared" si="7"/>
        <v>-7.0191713048855908E-2</v>
      </c>
      <c r="I74" s="17" t="str">
        <f t="shared" si="8"/>
        <v>Within Budget</v>
      </c>
    </row>
    <row r="75" spans="1:9" ht="15" customHeight="1" x14ac:dyDescent="0.25">
      <c r="A75" s="17" t="str">
        <f>Investment_Master!A75</f>
        <v>INV-071</v>
      </c>
      <c r="B75" s="17" t="str">
        <f>Investment_Master!B75</f>
        <v>Leadership Development – Central</v>
      </c>
      <c r="C75" s="17" t="str">
        <f>Investment_Master!C75</f>
        <v>Training</v>
      </c>
      <c r="D75" s="17" t="str">
        <f>Investment_Master!D75</f>
        <v>Product</v>
      </c>
      <c r="E75" s="19">
        <f>Investment_Master!K75</f>
        <v>9240000</v>
      </c>
      <c r="F75" s="19">
        <f>Investment_Master!J75</f>
        <v>9280000</v>
      </c>
      <c r="G75" s="19">
        <f t="shared" si="6"/>
        <v>40000</v>
      </c>
      <c r="H75" s="20">
        <f t="shared" si="7"/>
        <v>4.329004329004329E-3</v>
      </c>
      <c r="I75" s="17" t="str">
        <f t="shared" si="8"/>
        <v>Moderate Overrun</v>
      </c>
    </row>
    <row r="76" spans="1:9" ht="15" customHeight="1" x14ac:dyDescent="0.25">
      <c r="A76" s="17" t="str">
        <f>Investment_Master!A76</f>
        <v>INV-072</v>
      </c>
      <c r="B76" s="17" t="str">
        <f>Investment_Master!B76</f>
        <v>Plant Utility Upgrade – South</v>
      </c>
      <c r="C76" s="17" t="str">
        <f>Investment_Master!C76</f>
        <v>Infrastructure</v>
      </c>
      <c r="D76" s="17" t="str">
        <f>Investment_Master!D76</f>
        <v>Marketing</v>
      </c>
      <c r="E76" s="19">
        <f>Investment_Master!K76</f>
        <v>19990000</v>
      </c>
      <c r="F76" s="19">
        <f>Investment_Master!J76</f>
        <v>18650000</v>
      </c>
      <c r="G76" s="19">
        <f t="shared" si="6"/>
        <v>-1340000</v>
      </c>
      <c r="H76" s="20">
        <f t="shared" si="7"/>
        <v>-6.7033516758379194E-2</v>
      </c>
      <c r="I76" s="17" t="str">
        <f t="shared" si="8"/>
        <v>Within Budget</v>
      </c>
    </row>
    <row r="77" spans="1:9" ht="15" customHeight="1" x14ac:dyDescent="0.25">
      <c r="A77" s="17" t="str">
        <f>Investment_Master!A77</f>
        <v>INV-073</v>
      </c>
      <c r="B77" s="17" t="str">
        <f>Investment_Master!B77</f>
        <v>ERP Cloud Migration – West</v>
      </c>
      <c r="C77" s="17" t="str">
        <f>Investment_Master!C77</f>
        <v>Technology</v>
      </c>
      <c r="D77" s="17" t="str">
        <f>Investment_Master!D77</f>
        <v>HR</v>
      </c>
      <c r="E77" s="19">
        <f>Investment_Master!K77</f>
        <v>28150000</v>
      </c>
      <c r="F77" s="19">
        <f>Investment_Master!J77</f>
        <v>26390000</v>
      </c>
      <c r="G77" s="19">
        <f t="shared" si="6"/>
        <v>-1760000</v>
      </c>
      <c r="H77" s="20">
        <f t="shared" si="7"/>
        <v>-6.2522202486678502E-2</v>
      </c>
      <c r="I77" s="17" t="str">
        <f t="shared" si="8"/>
        <v>Within Budget</v>
      </c>
    </row>
    <row r="78" spans="1:9" ht="15" customHeight="1" x14ac:dyDescent="0.25">
      <c r="A78" s="17" t="str">
        <f>Investment_Master!A78</f>
        <v>INV-074</v>
      </c>
      <c r="B78" s="17" t="str">
        <f>Investment_Master!B78</f>
        <v>Brand Repositioning – North</v>
      </c>
      <c r="C78" s="17" t="str">
        <f>Investment_Master!C78</f>
        <v>Marketing</v>
      </c>
      <c r="D78" s="17" t="str">
        <f>Investment_Master!D78</f>
        <v>Supply Chain</v>
      </c>
      <c r="E78" s="19">
        <f>Investment_Master!K78</f>
        <v>16990000</v>
      </c>
      <c r="F78" s="19">
        <f>Investment_Master!J78</f>
        <v>16170000</v>
      </c>
      <c r="G78" s="19">
        <f t="shared" si="6"/>
        <v>-820000</v>
      </c>
      <c r="H78" s="20">
        <f t="shared" si="7"/>
        <v>-4.8263684520306063E-2</v>
      </c>
      <c r="I78" s="17" t="str">
        <f t="shared" si="8"/>
        <v>Within Budget</v>
      </c>
    </row>
    <row r="79" spans="1:9" ht="15" customHeight="1" x14ac:dyDescent="0.25">
      <c r="A79" s="17" t="str">
        <f>Investment_Master!A79</f>
        <v>INV-075</v>
      </c>
      <c r="B79" s="17" t="str">
        <f>Investment_Master!B79</f>
        <v>Premium Product Line – East</v>
      </c>
      <c r="C79" s="17" t="str">
        <f>Investment_Master!C79</f>
        <v>Product Development</v>
      </c>
      <c r="D79" s="17" t="str">
        <f>Investment_Master!D79</f>
        <v>Operations</v>
      </c>
      <c r="E79" s="19">
        <f>Investment_Master!K79</f>
        <v>39320000</v>
      </c>
      <c r="F79" s="19">
        <f>Investment_Master!J79</f>
        <v>40210000</v>
      </c>
      <c r="G79" s="19">
        <f t="shared" si="6"/>
        <v>890000</v>
      </c>
      <c r="H79" s="20">
        <f t="shared" si="7"/>
        <v>2.2634791454730418E-2</v>
      </c>
      <c r="I79" s="17" t="str">
        <f t="shared" si="8"/>
        <v>Moderate Overrun</v>
      </c>
    </row>
    <row r="80" spans="1:9" ht="15" customHeight="1" x14ac:dyDescent="0.25">
      <c r="A80" s="17" t="str">
        <f>Investment_Master!A80</f>
        <v>INV-076</v>
      </c>
      <c r="B80" s="17" t="str">
        <f>Investment_Master!B80</f>
        <v>Tier-2 City Expansion – Central</v>
      </c>
      <c r="C80" s="17" t="str">
        <f>Investment_Master!C80</f>
        <v>Expansion</v>
      </c>
      <c r="D80" s="17" t="str">
        <f>Investment_Master!D80</f>
        <v>Finance</v>
      </c>
      <c r="E80" s="19">
        <f>Investment_Master!K80</f>
        <v>41570000</v>
      </c>
      <c r="F80" s="19">
        <f>Investment_Master!J80</f>
        <v>44220000</v>
      </c>
      <c r="G80" s="19">
        <f t="shared" si="6"/>
        <v>2650000</v>
      </c>
      <c r="H80" s="20">
        <f t="shared" si="7"/>
        <v>6.3747895116670672E-2</v>
      </c>
      <c r="I80" s="17" t="str">
        <f t="shared" si="8"/>
        <v>Significant Overrun</v>
      </c>
    </row>
    <row r="81" spans="1:9" ht="15" customHeight="1" x14ac:dyDescent="0.25">
      <c r="A81" s="17" t="str">
        <f>Investment_Master!A81</f>
        <v>INV-077</v>
      </c>
      <c r="B81" s="17" t="str">
        <f>Investment_Master!B81</f>
        <v>Automated Packaging Line – South</v>
      </c>
      <c r="C81" s="17" t="str">
        <f>Investment_Master!C81</f>
        <v>Equipment</v>
      </c>
      <c r="D81" s="17" t="str">
        <f>Investment_Master!D81</f>
        <v>Sales</v>
      </c>
      <c r="E81" s="19">
        <f>Investment_Master!K81</f>
        <v>42280000</v>
      </c>
      <c r="F81" s="19">
        <f>Investment_Master!J81</f>
        <v>41420000</v>
      </c>
      <c r="G81" s="19">
        <f t="shared" si="6"/>
        <v>-860000</v>
      </c>
      <c r="H81" s="20">
        <f t="shared" si="7"/>
        <v>-2.034058656575213E-2</v>
      </c>
      <c r="I81" s="17" t="str">
        <f t="shared" si="8"/>
        <v>Within Budget</v>
      </c>
    </row>
    <row r="82" spans="1:9" ht="15" customHeight="1" x14ac:dyDescent="0.25">
      <c r="A82" s="17" t="str">
        <f>Investment_Master!A82</f>
        <v>INV-078</v>
      </c>
      <c r="B82" s="17" t="str">
        <f>Investment_Master!B82</f>
        <v>RPA Finance Rollout – West</v>
      </c>
      <c r="C82" s="17" t="str">
        <f>Investment_Master!C82</f>
        <v>Automation</v>
      </c>
      <c r="D82" s="17" t="str">
        <f>Investment_Master!D82</f>
        <v>IT</v>
      </c>
      <c r="E82" s="19">
        <f>Investment_Master!K82</f>
        <v>29320000</v>
      </c>
      <c r="F82" s="19">
        <f>Investment_Master!J82</f>
        <v>27210000</v>
      </c>
      <c r="G82" s="19">
        <f t="shared" si="6"/>
        <v>-2110000</v>
      </c>
      <c r="H82" s="20">
        <f t="shared" si="7"/>
        <v>-7.1964529331514329E-2</v>
      </c>
      <c r="I82" s="17" t="str">
        <f t="shared" si="8"/>
        <v>Within Budget</v>
      </c>
    </row>
    <row r="83" spans="1:9" ht="15" customHeight="1" x14ac:dyDescent="0.25">
      <c r="A83" s="17" t="str">
        <f>Investment_Master!A83</f>
        <v>INV-079</v>
      </c>
      <c r="B83" s="17" t="str">
        <f>Investment_Master!B83</f>
        <v>Leadership Development – North</v>
      </c>
      <c r="C83" s="17" t="str">
        <f>Investment_Master!C83</f>
        <v>Training</v>
      </c>
      <c r="D83" s="17" t="str">
        <f>Investment_Master!D83</f>
        <v>Product</v>
      </c>
      <c r="E83" s="19">
        <f>Investment_Master!K83</f>
        <v>12310000</v>
      </c>
      <c r="F83" s="19">
        <f>Investment_Master!J83</f>
        <v>11710000</v>
      </c>
      <c r="G83" s="19">
        <f t="shared" si="6"/>
        <v>-600000</v>
      </c>
      <c r="H83" s="20">
        <f t="shared" si="7"/>
        <v>-4.8740861088545896E-2</v>
      </c>
      <c r="I83" s="17" t="str">
        <f t="shared" si="8"/>
        <v>Within Budget</v>
      </c>
    </row>
    <row r="84" spans="1:9" ht="15" customHeight="1" x14ac:dyDescent="0.25">
      <c r="A84" s="17" t="str">
        <f>Investment_Master!A84</f>
        <v>INV-080</v>
      </c>
      <c r="B84" s="17" t="str">
        <f>Investment_Master!B84</f>
        <v>Plant Utility Upgrade – East</v>
      </c>
      <c r="C84" s="17" t="str">
        <f>Investment_Master!C84</f>
        <v>Infrastructure</v>
      </c>
      <c r="D84" s="17" t="str">
        <f>Investment_Master!D84</f>
        <v>Marketing</v>
      </c>
      <c r="E84" s="19">
        <f>Investment_Master!K84</f>
        <v>54730000</v>
      </c>
      <c r="F84" s="19">
        <f>Investment_Master!J84</f>
        <v>51790000</v>
      </c>
      <c r="G84" s="19">
        <f t="shared" si="6"/>
        <v>-2940000</v>
      </c>
      <c r="H84" s="20">
        <f t="shared" si="7"/>
        <v>-5.3718253243193861E-2</v>
      </c>
      <c r="I84" s="17" t="str">
        <f t="shared" si="8"/>
        <v>Within Budget</v>
      </c>
    </row>
    <row r="85" spans="1:9" ht="15" customHeight="1" x14ac:dyDescent="0.25">
      <c r="A85" s="17" t="str">
        <f>Investment_Master!A85</f>
        <v>INV-081</v>
      </c>
      <c r="B85" s="17" t="str">
        <f>Investment_Master!B85</f>
        <v>ERP Cloud Migration – Central</v>
      </c>
      <c r="C85" s="17" t="str">
        <f>Investment_Master!C85</f>
        <v>Technology</v>
      </c>
      <c r="D85" s="17" t="str">
        <f>Investment_Master!D85</f>
        <v>HR</v>
      </c>
      <c r="E85" s="19">
        <f>Investment_Master!K85</f>
        <v>19190000</v>
      </c>
      <c r="F85" s="19">
        <f>Investment_Master!J85</f>
        <v>20860000</v>
      </c>
      <c r="G85" s="19">
        <f t="shared" si="6"/>
        <v>1670000</v>
      </c>
      <c r="H85" s="20">
        <f t="shared" si="7"/>
        <v>8.7024491922876493E-2</v>
      </c>
      <c r="I85" s="17" t="str">
        <f t="shared" si="8"/>
        <v>Significant Overrun</v>
      </c>
    </row>
    <row r="86" spans="1:9" ht="15" customHeight="1" x14ac:dyDescent="0.25">
      <c r="A86" s="17" t="str">
        <f>Investment_Master!A86</f>
        <v>INV-082</v>
      </c>
      <c r="B86" s="17" t="str">
        <f>Investment_Master!B86</f>
        <v>Brand Repositioning – South</v>
      </c>
      <c r="C86" s="17" t="str">
        <f>Investment_Master!C86</f>
        <v>Marketing</v>
      </c>
      <c r="D86" s="17" t="str">
        <f>Investment_Master!D86</f>
        <v>Supply Chain</v>
      </c>
      <c r="E86" s="19">
        <f>Investment_Master!K86</f>
        <v>16530000</v>
      </c>
      <c r="F86" s="19">
        <f>Investment_Master!J86</f>
        <v>17620000</v>
      </c>
      <c r="G86" s="19">
        <f t="shared" si="6"/>
        <v>1090000</v>
      </c>
      <c r="H86" s="20">
        <f t="shared" si="7"/>
        <v>6.5940713853599522E-2</v>
      </c>
      <c r="I86" s="17" t="str">
        <f t="shared" si="8"/>
        <v>Significant Overrun</v>
      </c>
    </row>
    <row r="87" spans="1:9" ht="15" customHeight="1" x14ac:dyDescent="0.25">
      <c r="A87" s="17" t="str">
        <f>Investment_Master!A87</f>
        <v>INV-083</v>
      </c>
      <c r="B87" s="17" t="str">
        <f>Investment_Master!B87</f>
        <v>Premium Product Line – West</v>
      </c>
      <c r="C87" s="17" t="str">
        <f>Investment_Master!C87</f>
        <v>Product Development</v>
      </c>
      <c r="D87" s="17" t="str">
        <f>Investment_Master!D87</f>
        <v>Operations</v>
      </c>
      <c r="E87" s="19">
        <f>Investment_Master!K87</f>
        <v>45160000</v>
      </c>
      <c r="F87" s="19">
        <f>Investment_Master!J87</f>
        <v>41940000</v>
      </c>
      <c r="G87" s="19">
        <f t="shared" si="6"/>
        <v>-3220000</v>
      </c>
      <c r="H87" s="20">
        <f t="shared" si="7"/>
        <v>-7.1302037201062887E-2</v>
      </c>
      <c r="I87" s="17" t="str">
        <f t="shared" si="8"/>
        <v>Within Budget</v>
      </c>
    </row>
    <row r="88" spans="1:9" ht="15" customHeight="1" x14ac:dyDescent="0.25">
      <c r="A88" s="17" t="str">
        <f>Investment_Master!A88</f>
        <v>INV-084</v>
      </c>
      <c r="B88" s="17" t="str">
        <f>Investment_Master!B88</f>
        <v>Tier-2 City Expansion – North</v>
      </c>
      <c r="C88" s="17" t="str">
        <f>Investment_Master!C88</f>
        <v>Expansion</v>
      </c>
      <c r="D88" s="17" t="str">
        <f>Investment_Master!D88</f>
        <v>Finance</v>
      </c>
      <c r="E88" s="19">
        <f>Investment_Master!K88</f>
        <v>35540000</v>
      </c>
      <c r="F88" s="19">
        <f>Investment_Master!J88</f>
        <v>37500000</v>
      </c>
      <c r="G88" s="19">
        <f t="shared" si="6"/>
        <v>1960000</v>
      </c>
      <c r="H88" s="20">
        <f t="shared" si="7"/>
        <v>5.5149127743387732E-2</v>
      </c>
      <c r="I88" s="17" t="str">
        <f t="shared" si="8"/>
        <v>Significant Overrun</v>
      </c>
    </row>
    <row r="89" spans="1:9" ht="15" customHeight="1" x14ac:dyDescent="0.25">
      <c r="A89" s="17" t="str">
        <f>Investment_Master!A89</f>
        <v>INV-085</v>
      </c>
      <c r="B89" s="17" t="str">
        <f>Investment_Master!B89</f>
        <v>Automated Packaging Line – East</v>
      </c>
      <c r="C89" s="17" t="str">
        <f>Investment_Master!C89</f>
        <v>Equipment</v>
      </c>
      <c r="D89" s="17" t="str">
        <f>Investment_Master!D89</f>
        <v>Sales</v>
      </c>
      <c r="E89" s="19">
        <f>Investment_Master!K89</f>
        <v>41570000</v>
      </c>
      <c r="F89" s="19">
        <f>Investment_Master!J89</f>
        <v>41180000</v>
      </c>
      <c r="G89" s="19">
        <f t="shared" si="6"/>
        <v>-390000</v>
      </c>
      <c r="H89" s="20">
        <f t="shared" si="7"/>
        <v>-9.381765696415684E-3</v>
      </c>
      <c r="I89" s="17" t="str">
        <f t="shared" si="8"/>
        <v>Within Budget</v>
      </c>
    </row>
    <row r="90" spans="1:9" ht="15" customHeight="1" x14ac:dyDescent="0.25">
      <c r="A90" s="17" t="str">
        <f>Investment_Master!A90</f>
        <v>INV-086</v>
      </c>
      <c r="B90" s="17" t="str">
        <f>Investment_Master!B90</f>
        <v>RPA Finance Rollout – Central</v>
      </c>
      <c r="C90" s="17" t="str">
        <f>Investment_Master!C90</f>
        <v>Automation</v>
      </c>
      <c r="D90" s="17" t="str">
        <f>Investment_Master!D90</f>
        <v>IT</v>
      </c>
      <c r="E90" s="19">
        <f>Investment_Master!K90</f>
        <v>28290000</v>
      </c>
      <c r="F90" s="19">
        <f>Investment_Master!J90</f>
        <v>29800000</v>
      </c>
      <c r="G90" s="19">
        <f t="shared" si="6"/>
        <v>1510000</v>
      </c>
      <c r="H90" s="20">
        <f t="shared" si="7"/>
        <v>5.3375751148815834E-2</v>
      </c>
      <c r="I90" s="17" t="str">
        <f t="shared" si="8"/>
        <v>Significant Overrun</v>
      </c>
    </row>
    <row r="91" spans="1:9" ht="15" customHeight="1" x14ac:dyDescent="0.25">
      <c r="A91" s="17" t="str">
        <f>Investment_Master!A91</f>
        <v>INV-087</v>
      </c>
      <c r="B91" s="17" t="str">
        <f>Investment_Master!B91</f>
        <v>Leadership Development – South</v>
      </c>
      <c r="C91" s="17" t="str">
        <f>Investment_Master!C91</f>
        <v>Training</v>
      </c>
      <c r="D91" s="17" t="str">
        <f>Investment_Master!D91</f>
        <v>Product</v>
      </c>
      <c r="E91" s="19">
        <f>Investment_Master!K91</f>
        <v>8350000</v>
      </c>
      <c r="F91" s="19">
        <f>Investment_Master!J91</f>
        <v>8450000</v>
      </c>
      <c r="G91" s="19">
        <f t="shared" si="6"/>
        <v>100000</v>
      </c>
      <c r="H91" s="20">
        <f t="shared" si="7"/>
        <v>1.1976047904191617E-2</v>
      </c>
      <c r="I91" s="17" t="str">
        <f t="shared" si="8"/>
        <v>Moderate Overrun</v>
      </c>
    </row>
    <row r="92" spans="1:9" ht="15" customHeight="1" x14ac:dyDescent="0.25">
      <c r="A92" s="17" t="str">
        <f>Investment_Master!A92</f>
        <v>INV-088</v>
      </c>
      <c r="B92" s="17" t="str">
        <f>Investment_Master!B92</f>
        <v>Plant Utility Upgrade – West</v>
      </c>
      <c r="C92" s="17" t="str">
        <f>Investment_Master!C92</f>
        <v>Infrastructure</v>
      </c>
      <c r="D92" s="17" t="str">
        <f>Investment_Master!D92</f>
        <v>Marketing</v>
      </c>
      <c r="E92" s="19">
        <f>Investment_Master!K92</f>
        <v>53000000</v>
      </c>
      <c r="F92" s="19">
        <f>Investment_Master!J92</f>
        <v>53360000</v>
      </c>
      <c r="G92" s="19">
        <f t="shared" si="6"/>
        <v>360000</v>
      </c>
      <c r="H92" s="20">
        <f t="shared" si="7"/>
        <v>6.7924528301886791E-3</v>
      </c>
      <c r="I92" s="17" t="str">
        <f t="shared" si="8"/>
        <v>Moderate Overrun</v>
      </c>
    </row>
    <row r="93" spans="1:9" ht="15" customHeight="1" x14ac:dyDescent="0.25">
      <c r="A93" s="17" t="str">
        <f>Investment_Master!A93</f>
        <v>INV-089</v>
      </c>
      <c r="B93" s="17" t="str">
        <f>Investment_Master!B93</f>
        <v>ERP Cloud Migration – North</v>
      </c>
      <c r="C93" s="17" t="str">
        <f>Investment_Master!C93</f>
        <v>Technology</v>
      </c>
      <c r="D93" s="17" t="str">
        <f>Investment_Master!D93</f>
        <v>HR</v>
      </c>
      <c r="E93" s="19">
        <f>Investment_Master!K93</f>
        <v>25660000</v>
      </c>
      <c r="F93" s="19">
        <f>Investment_Master!J93</f>
        <v>25620000</v>
      </c>
      <c r="G93" s="19">
        <f t="shared" si="6"/>
        <v>-40000</v>
      </c>
      <c r="H93" s="20">
        <f t="shared" si="7"/>
        <v>-1.558846453624318E-3</v>
      </c>
      <c r="I93" s="17" t="str">
        <f t="shared" si="8"/>
        <v>Within Budget</v>
      </c>
    </row>
    <row r="94" spans="1:9" ht="15" customHeight="1" x14ac:dyDescent="0.25">
      <c r="A94" s="17" t="str">
        <f>Investment_Master!A94</f>
        <v>INV-090</v>
      </c>
      <c r="B94" s="17" t="str">
        <f>Investment_Master!B94</f>
        <v>Brand Repositioning – East</v>
      </c>
      <c r="C94" s="17" t="str">
        <f>Investment_Master!C94</f>
        <v>Marketing</v>
      </c>
      <c r="D94" s="17" t="str">
        <f>Investment_Master!D94</f>
        <v>Supply Chain</v>
      </c>
      <c r="E94" s="19">
        <f>Investment_Master!K94</f>
        <v>20230000</v>
      </c>
      <c r="F94" s="19">
        <f>Investment_Master!J94</f>
        <v>21130000</v>
      </c>
      <c r="G94" s="19">
        <f t="shared" si="6"/>
        <v>900000</v>
      </c>
      <c r="H94" s="20">
        <f t="shared" si="7"/>
        <v>4.4488383588729606E-2</v>
      </c>
      <c r="I94" s="17" t="str">
        <f t="shared" si="8"/>
        <v>Moderate Overrun</v>
      </c>
    </row>
    <row r="95" spans="1:9" ht="15" customHeight="1" x14ac:dyDescent="0.25">
      <c r="A95" s="17" t="str">
        <f>Investment_Master!A95</f>
        <v>INV-091</v>
      </c>
      <c r="B95" s="17" t="str">
        <f>Investment_Master!B95</f>
        <v>Premium Product Line – Central</v>
      </c>
      <c r="C95" s="17" t="str">
        <f>Investment_Master!C95</f>
        <v>Product Development</v>
      </c>
      <c r="D95" s="17" t="str">
        <f>Investment_Master!D95</f>
        <v>Operations</v>
      </c>
      <c r="E95" s="19">
        <f>Investment_Master!K95</f>
        <v>17490000</v>
      </c>
      <c r="F95" s="19">
        <f>Investment_Master!J95</f>
        <v>17340000</v>
      </c>
      <c r="G95" s="19">
        <f t="shared" si="6"/>
        <v>-150000</v>
      </c>
      <c r="H95" s="20">
        <f t="shared" si="7"/>
        <v>-8.5763293310463125E-3</v>
      </c>
      <c r="I95" s="17" t="str">
        <f t="shared" si="8"/>
        <v>Within Budget</v>
      </c>
    </row>
    <row r="96" spans="1:9" ht="15" customHeight="1" x14ac:dyDescent="0.25">
      <c r="A96" s="17" t="str">
        <f>Investment_Master!A96</f>
        <v>INV-092</v>
      </c>
      <c r="B96" s="17" t="str">
        <f>Investment_Master!B96</f>
        <v>Tier-2 City Expansion – South</v>
      </c>
      <c r="C96" s="17" t="str">
        <f>Investment_Master!C96</f>
        <v>Expansion</v>
      </c>
      <c r="D96" s="17" t="str">
        <f>Investment_Master!D96</f>
        <v>Finance</v>
      </c>
      <c r="E96" s="19">
        <f>Investment_Master!K96</f>
        <v>59000000</v>
      </c>
      <c r="F96" s="19">
        <f>Investment_Master!J96</f>
        <v>57300000</v>
      </c>
      <c r="G96" s="19">
        <f t="shared" si="6"/>
        <v>-1700000</v>
      </c>
      <c r="H96" s="20">
        <f t="shared" si="7"/>
        <v>-2.8813559322033899E-2</v>
      </c>
      <c r="I96" s="17" t="str">
        <f t="shared" si="8"/>
        <v>Within Budget</v>
      </c>
    </row>
    <row r="97" spans="1:9" ht="15" customHeight="1" x14ac:dyDescent="0.25">
      <c r="A97" s="17" t="str">
        <f>Investment_Master!A97</f>
        <v>INV-093</v>
      </c>
      <c r="B97" s="17" t="str">
        <f>Investment_Master!B97</f>
        <v>Automated Packaging Line – West</v>
      </c>
      <c r="C97" s="17" t="str">
        <f>Investment_Master!C97</f>
        <v>Equipment</v>
      </c>
      <c r="D97" s="17" t="str">
        <f>Investment_Master!D97</f>
        <v>Sales</v>
      </c>
      <c r="E97" s="19">
        <f>Investment_Master!K97</f>
        <v>32170000</v>
      </c>
      <c r="F97" s="19">
        <f>Investment_Master!J97</f>
        <v>29260000</v>
      </c>
      <c r="G97" s="19">
        <f t="shared" si="6"/>
        <v>-2910000</v>
      </c>
      <c r="H97" s="20">
        <f t="shared" si="7"/>
        <v>-9.0456947466583768E-2</v>
      </c>
      <c r="I97" s="17" t="str">
        <f t="shared" si="8"/>
        <v>Within Budget</v>
      </c>
    </row>
    <row r="98" spans="1:9" ht="15" customHeight="1" x14ac:dyDescent="0.25">
      <c r="A98" s="17" t="str">
        <f>Investment_Master!A98</f>
        <v>INV-094</v>
      </c>
      <c r="B98" s="17" t="str">
        <f>Investment_Master!B98</f>
        <v>RPA Finance Rollout – North</v>
      </c>
      <c r="C98" s="17" t="str">
        <f>Investment_Master!C98</f>
        <v>Automation</v>
      </c>
      <c r="D98" s="17" t="str">
        <f>Investment_Master!D98</f>
        <v>IT</v>
      </c>
      <c r="E98" s="19">
        <f>Investment_Master!K98</f>
        <v>19390000</v>
      </c>
      <c r="F98" s="19">
        <f>Investment_Master!J98</f>
        <v>20030000</v>
      </c>
      <c r="G98" s="19">
        <f t="shared" si="6"/>
        <v>640000</v>
      </c>
      <c r="H98" s="20">
        <f t="shared" si="7"/>
        <v>3.3006704486848892E-2</v>
      </c>
      <c r="I98" s="17" t="str">
        <f t="shared" si="8"/>
        <v>Moderate Overrun</v>
      </c>
    </row>
    <row r="99" spans="1:9" ht="15" customHeight="1" x14ac:dyDescent="0.25">
      <c r="A99" s="17" t="str">
        <f>Investment_Master!A99</f>
        <v>INV-095</v>
      </c>
      <c r="B99" s="17" t="str">
        <f>Investment_Master!B99</f>
        <v>Leadership Development – East</v>
      </c>
      <c r="C99" s="17" t="str">
        <f>Investment_Master!C99</f>
        <v>Training</v>
      </c>
      <c r="D99" s="17" t="str">
        <f>Investment_Master!D99</f>
        <v>Product</v>
      </c>
      <c r="E99" s="19">
        <f>Investment_Master!K99</f>
        <v>4200000</v>
      </c>
      <c r="F99" s="19">
        <f>Investment_Master!J99</f>
        <v>3890000</v>
      </c>
      <c r="G99" s="19">
        <f t="shared" si="6"/>
        <v>-310000</v>
      </c>
      <c r="H99" s="20">
        <f t="shared" si="7"/>
        <v>-7.3809523809523811E-2</v>
      </c>
      <c r="I99" s="17" t="str">
        <f t="shared" si="8"/>
        <v>Within Budget</v>
      </c>
    </row>
    <row r="100" spans="1:9" ht="15" customHeight="1" x14ac:dyDescent="0.25">
      <c r="A100" s="17" t="str">
        <f>Investment_Master!A100</f>
        <v>INV-096</v>
      </c>
      <c r="B100" s="17" t="str">
        <f>Investment_Master!B100</f>
        <v>Plant Utility Upgrade – Central</v>
      </c>
      <c r="C100" s="17" t="str">
        <f>Investment_Master!C100</f>
        <v>Infrastructure</v>
      </c>
      <c r="D100" s="17" t="str">
        <f>Investment_Master!D100</f>
        <v>Marketing</v>
      </c>
      <c r="E100" s="19">
        <f>Investment_Master!K100</f>
        <v>39510000</v>
      </c>
      <c r="F100" s="19">
        <f>Investment_Master!J100</f>
        <v>38670000</v>
      </c>
      <c r="G100" s="19">
        <f t="shared" si="6"/>
        <v>-840000</v>
      </c>
      <c r="H100" s="20">
        <f t="shared" si="7"/>
        <v>-2.1260440394836749E-2</v>
      </c>
      <c r="I100" s="17" t="str">
        <f t="shared" si="8"/>
        <v>Within Budget</v>
      </c>
    </row>
    <row r="101" spans="1:9" ht="15" customHeight="1" x14ac:dyDescent="0.25">
      <c r="A101" s="17" t="str">
        <f>Investment_Master!A101</f>
        <v>INV-097</v>
      </c>
      <c r="B101" s="17" t="str">
        <f>Investment_Master!B101</f>
        <v>ERP Cloud Migration – South</v>
      </c>
      <c r="C101" s="17" t="str">
        <f>Investment_Master!C101</f>
        <v>Technology</v>
      </c>
      <c r="D101" s="17" t="str">
        <f>Investment_Master!D101</f>
        <v>HR</v>
      </c>
      <c r="E101" s="19">
        <f>Investment_Master!K101</f>
        <v>34850000</v>
      </c>
      <c r="F101" s="19">
        <f>Investment_Master!J101</f>
        <v>34010000</v>
      </c>
      <c r="G101" s="19">
        <f t="shared" ref="G101:G132" si="9">F101-E101</f>
        <v>-840000</v>
      </c>
      <c r="H101" s="20">
        <f t="shared" ref="H101:H132" si="10">IFERROR(G101/E101,0)</f>
        <v>-2.4103299856527979E-2</v>
      </c>
      <c r="I101" s="17" t="str">
        <f t="shared" ref="I101:I132" si="11">IF(H101&lt;=0,"Within Budget",IF(H101&lt;=5%,"Moderate Overrun","Significant Overrun"))</f>
        <v>Within Budget</v>
      </c>
    </row>
    <row r="102" spans="1:9" ht="15" customHeight="1" x14ac:dyDescent="0.25">
      <c r="A102" s="17" t="str">
        <f>Investment_Master!A102</f>
        <v>INV-098</v>
      </c>
      <c r="B102" s="17" t="str">
        <f>Investment_Master!B102</f>
        <v>Brand Repositioning – West</v>
      </c>
      <c r="C102" s="17" t="str">
        <f>Investment_Master!C102</f>
        <v>Marketing</v>
      </c>
      <c r="D102" s="17" t="str">
        <f>Investment_Master!D102</f>
        <v>Supply Chain</v>
      </c>
      <c r="E102" s="19">
        <f>Investment_Master!K102</f>
        <v>13040000</v>
      </c>
      <c r="F102" s="19">
        <f>Investment_Master!J102</f>
        <v>14140000</v>
      </c>
      <c r="G102" s="19">
        <f t="shared" si="9"/>
        <v>1100000</v>
      </c>
      <c r="H102" s="20">
        <f t="shared" si="10"/>
        <v>8.4355828220858894E-2</v>
      </c>
      <c r="I102" s="17" t="str">
        <f t="shared" si="11"/>
        <v>Significant Overrun</v>
      </c>
    </row>
    <row r="103" spans="1:9" ht="15" customHeight="1" x14ac:dyDescent="0.25">
      <c r="A103" s="17" t="str">
        <f>Investment_Master!A103</f>
        <v>INV-099</v>
      </c>
      <c r="B103" s="17" t="str">
        <f>Investment_Master!B103</f>
        <v>Premium Product Line – North</v>
      </c>
      <c r="C103" s="17" t="str">
        <f>Investment_Master!C103</f>
        <v>Product Development</v>
      </c>
      <c r="D103" s="17" t="str">
        <f>Investment_Master!D103</f>
        <v>Operations</v>
      </c>
      <c r="E103" s="19">
        <f>Investment_Master!K103</f>
        <v>16690000</v>
      </c>
      <c r="F103" s="19">
        <f>Investment_Master!J103</f>
        <v>15200000</v>
      </c>
      <c r="G103" s="19">
        <f t="shared" si="9"/>
        <v>-1490000</v>
      </c>
      <c r="H103" s="20">
        <f t="shared" si="10"/>
        <v>-8.9275014979029357E-2</v>
      </c>
      <c r="I103" s="17" t="str">
        <f t="shared" si="11"/>
        <v>Within Budget</v>
      </c>
    </row>
    <row r="104" spans="1:9" ht="15" customHeight="1" x14ac:dyDescent="0.25">
      <c r="A104" s="17" t="str">
        <f>Investment_Master!A104</f>
        <v>INV-100</v>
      </c>
      <c r="B104" s="17" t="str">
        <f>Investment_Master!B104</f>
        <v>Tier-2 City Expansion – East</v>
      </c>
      <c r="C104" s="17" t="str">
        <f>Investment_Master!C104</f>
        <v>Expansion</v>
      </c>
      <c r="D104" s="17" t="str">
        <f>Investment_Master!D104</f>
        <v>Finance</v>
      </c>
      <c r="E104" s="19">
        <f>Investment_Master!K104</f>
        <v>20170000</v>
      </c>
      <c r="F104" s="19">
        <f>Investment_Master!J104</f>
        <v>20910000</v>
      </c>
      <c r="G104" s="19">
        <f t="shared" si="9"/>
        <v>740000</v>
      </c>
      <c r="H104" s="20">
        <f t="shared" si="10"/>
        <v>3.6688150718889437E-2</v>
      </c>
      <c r="I104" s="17" t="str">
        <f t="shared" si="11"/>
        <v>Moderate Overrun</v>
      </c>
    </row>
    <row r="105" spans="1:9" ht="15" customHeight="1" x14ac:dyDescent="0.25">
      <c r="A105" s="17" t="str">
        <f>Investment_Master!A105</f>
        <v>INV-101</v>
      </c>
      <c r="B105" s="17" t="str">
        <f>Investment_Master!B105</f>
        <v>Automated Packaging Line – Central</v>
      </c>
      <c r="C105" s="17" t="str">
        <f>Investment_Master!C105</f>
        <v>Equipment</v>
      </c>
      <c r="D105" s="17" t="str">
        <f>Investment_Master!D105</f>
        <v>Sales</v>
      </c>
      <c r="E105" s="19">
        <f>Investment_Master!K105</f>
        <v>14670000</v>
      </c>
      <c r="F105" s="19">
        <f>Investment_Master!J105</f>
        <v>14740000</v>
      </c>
      <c r="G105" s="19">
        <f t="shared" si="9"/>
        <v>70000</v>
      </c>
      <c r="H105" s="20">
        <f t="shared" si="10"/>
        <v>4.7716428084526247E-3</v>
      </c>
      <c r="I105" s="17" t="str">
        <f t="shared" si="11"/>
        <v>Moderate Overrun</v>
      </c>
    </row>
    <row r="106" spans="1:9" ht="15" customHeight="1" x14ac:dyDescent="0.25">
      <c r="A106" s="17" t="str">
        <f>Investment_Master!A106</f>
        <v>INV-102</v>
      </c>
      <c r="B106" s="17" t="str">
        <f>Investment_Master!B106</f>
        <v>RPA Finance Rollout – South</v>
      </c>
      <c r="C106" s="17" t="str">
        <f>Investment_Master!C106</f>
        <v>Automation</v>
      </c>
      <c r="D106" s="17" t="str">
        <f>Investment_Master!D106</f>
        <v>IT</v>
      </c>
      <c r="E106" s="19">
        <f>Investment_Master!K106</f>
        <v>7320000</v>
      </c>
      <c r="F106" s="19">
        <f>Investment_Master!J106</f>
        <v>7830000</v>
      </c>
      <c r="G106" s="19">
        <f t="shared" si="9"/>
        <v>510000</v>
      </c>
      <c r="H106" s="20">
        <f t="shared" si="10"/>
        <v>6.9672131147540978E-2</v>
      </c>
      <c r="I106" s="17" t="str">
        <f t="shared" si="11"/>
        <v>Significant Overrun</v>
      </c>
    </row>
    <row r="107" spans="1:9" ht="15" customHeight="1" x14ac:dyDescent="0.25">
      <c r="A107" s="17" t="str">
        <f>Investment_Master!A107</f>
        <v>INV-103</v>
      </c>
      <c r="B107" s="17" t="str">
        <f>Investment_Master!B107</f>
        <v>Leadership Development – West</v>
      </c>
      <c r="C107" s="17" t="str">
        <f>Investment_Master!C107</f>
        <v>Training</v>
      </c>
      <c r="D107" s="17" t="str">
        <f>Investment_Master!D107</f>
        <v>Product</v>
      </c>
      <c r="E107" s="19">
        <f>Investment_Master!K107</f>
        <v>2900000</v>
      </c>
      <c r="F107" s="19">
        <f>Investment_Master!J107</f>
        <v>3010000</v>
      </c>
      <c r="G107" s="19">
        <f t="shared" si="9"/>
        <v>110000</v>
      </c>
      <c r="H107" s="20">
        <f t="shared" si="10"/>
        <v>3.793103448275862E-2</v>
      </c>
      <c r="I107" s="17" t="str">
        <f t="shared" si="11"/>
        <v>Moderate Overrun</v>
      </c>
    </row>
    <row r="108" spans="1:9" ht="15" customHeight="1" x14ac:dyDescent="0.25">
      <c r="A108" s="17" t="str">
        <f>Investment_Master!A108</f>
        <v>INV-104</v>
      </c>
      <c r="B108" s="17" t="str">
        <f>Investment_Master!B108</f>
        <v>Plant Utility Upgrade – North</v>
      </c>
      <c r="C108" s="17" t="str">
        <f>Investment_Master!C108</f>
        <v>Infrastructure</v>
      </c>
      <c r="D108" s="17" t="str">
        <f>Investment_Master!D108</f>
        <v>Marketing</v>
      </c>
      <c r="E108" s="19">
        <f>Investment_Master!K108</f>
        <v>44890000</v>
      </c>
      <c r="F108" s="19">
        <f>Investment_Master!J108</f>
        <v>42930000</v>
      </c>
      <c r="G108" s="19">
        <f t="shared" si="9"/>
        <v>-1960000</v>
      </c>
      <c r="H108" s="20">
        <f t="shared" si="10"/>
        <v>-4.3662285586990424E-2</v>
      </c>
      <c r="I108" s="17" t="str">
        <f t="shared" si="11"/>
        <v>Within Budget</v>
      </c>
    </row>
    <row r="109" spans="1:9" ht="15" customHeight="1" x14ac:dyDescent="0.25">
      <c r="A109" s="17" t="str">
        <f>Investment_Master!A109</f>
        <v>INV-105</v>
      </c>
      <c r="B109" s="17" t="str">
        <f>Investment_Master!B109</f>
        <v>ERP Cloud Migration – East</v>
      </c>
      <c r="C109" s="17" t="str">
        <f>Investment_Master!C109</f>
        <v>Technology</v>
      </c>
      <c r="D109" s="17" t="str">
        <f>Investment_Master!D109</f>
        <v>HR</v>
      </c>
      <c r="E109" s="19">
        <f>Investment_Master!K109</f>
        <v>34410000</v>
      </c>
      <c r="F109" s="19">
        <f>Investment_Master!J109</f>
        <v>34630000</v>
      </c>
      <c r="G109" s="19">
        <f t="shared" si="9"/>
        <v>220000</v>
      </c>
      <c r="H109" s="20">
        <f t="shared" si="10"/>
        <v>6.3934902644580066E-3</v>
      </c>
      <c r="I109" s="17" t="str">
        <f t="shared" si="11"/>
        <v>Moderate Overrun</v>
      </c>
    </row>
    <row r="110" spans="1:9" ht="15" customHeight="1" x14ac:dyDescent="0.25">
      <c r="A110" s="17" t="str">
        <f>Investment_Master!A110</f>
        <v>INV-106</v>
      </c>
      <c r="B110" s="17" t="str">
        <f>Investment_Master!B110</f>
        <v>Brand Repositioning – Central</v>
      </c>
      <c r="C110" s="17" t="str">
        <f>Investment_Master!C110</f>
        <v>Marketing</v>
      </c>
      <c r="D110" s="17" t="str">
        <f>Investment_Master!D110</f>
        <v>Supply Chain</v>
      </c>
      <c r="E110" s="19">
        <f>Investment_Master!K110</f>
        <v>8030000</v>
      </c>
      <c r="F110" s="19">
        <f>Investment_Master!J110</f>
        <v>8700000</v>
      </c>
      <c r="G110" s="19">
        <f t="shared" si="9"/>
        <v>670000</v>
      </c>
      <c r="H110" s="20">
        <f t="shared" si="10"/>
        <v>8.3437110834371109E-2</v>
      </c>
      <c r="I110" s="17" t="str">
        <f t="shared" si="11"/>
        <v>Significant Overrun</v>
      </c>
    </row>
    <row r="111" spans="1:9" ht="15" customHeight="1" x14ac:dyDescent="0.25">
      <c r="A111" s="17" t="str">
        <f>Investment_Master!A111</f>
        <v>INV-107</v>
      </c>
      <c r="B111" s="17" t="str">
        <f>Investment_Master!B111</f>
        <v>Premium Product Line – South</v>
      </c>
      <c r="C111" s="17" t="str">
        <f>Investment_Master!C111</f>
        <v>Product Development</v>
      </c>
      <c r="D111" s="17" t="str">
        <f>Investment_Master!D111</f>
        <v>Operations</v>
      </c>
      <c r="E111" s="19">
        <f>Investment_Master!K111</f>
        <v>24810000</v>
      </c>
      <c r="F111" s="19">
        <f>Investment_Master!J111</f>
        <v>24380000</v>
      </c>
      <c r="G111" s="19">
        <f t="shared" si="9"/>
        <v>-430000</v>
      </c>
      <c r="H111" s="20">
        <f t="shared" si="10"/>
        <v>-1.7331721080209594E-2</v>
      </c>
      <c r="I111" s="17" t="str">
        <f t="shared" si="11"/>
        <v>Within Budget</v>
      </c>
    </row>
    <row r="112" spans="1:9" ht="15" customHeight="1" x14ac:dyDescent="0.25">
      <c r="A112" s="17" t="str">
        <f>Investment_Master!A112</f>
        <v>INV-108</v>
      </c>
      <c r="B112" s="17" t="str">
        <f>Investment_Master!B112</f>
        <v>Tier-2 City Expansion – West</v>
      </c>
      <c r="C112" s="17" t="str">
        <f>Investment_Master!C112</f>
        <v>Expansion</v>
      </c>
      <c r="D112" s="17" t="str">
        <f>Investment_Master!D112</f>
        <v>Finance</v>
      </c>
      <c r="E112" s="19">
        <f>Investment_Master!K112</f>
        <v>68720000</v>
      </c>
      <c r="F112" s="19">
        <f>Investment_Master!J112</f>
        <v>63450000</v>
      </c>
      <c r="G112" s="19">
        <f t="shared" si="9"/>
        <v>-5270000</v>
      </c>
      <c r="H112" s="20">
        <f t="shared" si="10"/>
        <v>-7.6688009313154837E-2</v>
      </c>
      <c r="I112" s="17" t="str">
        <f t="shared" si="11"/>
        <v>Within Budget</v>
      </c>
    </row>
    <row r="113" spans="1:9" ht="15" customHeight="1" x14ac:dyDescent="0.25">
      <c r="A113" s="17" t="str">
        <f>Investment_Master!A113</f>
        <v>INV-109</v>
      </c>
      <c r="B113" s="17" t="str">
        <f>Investment_Master!B113</f>
        <v>Automated Packaging Line – North</v>
      </c>
      <c r="C113" s="17" t="str">
        <f>Investment_Master!C113</f>
        <v>Equipment</v>
      </c>
      <c r="D113" s="17" t="str">
        <f>Investment_Master!D113</f>
        <v>Sales</v>
      </c>
      <c r="E113" s="19">
        <f>Investment_Master!K113</f>
        <v>31180000</v>
      </c>
      <c r="F113" s="19">
        <f>Investment_Master!J113</f>
        <v>31090000</v>
      </c>
      <c r="G113" s="19">
        <f t="shared" si="9"/>
        <v>-90000</v>
      </c>
      <c r="H113" s="20">
        <f t="shared" si="10"/>
        <v>-2.8864656831302116E-3</v>
      </c>
      <c r="I113" s="17" t="str">
        <f t="shared" si="11"/>
        <v>Within Budget</v>
      </c>
    </row>
    <row r="114" spans="1:9" ht="15" customHeight="1" x14ac:dyDescent="0.25">
      <c r="A114" s="17" t="str">
        <f>Investment_Master!A114</f>
        <v>INV-110</v>
      </c>
      <c r="B114" s="17" t="str">
        <f>Investment_Master!B114</f>
        <v>RPA Finance Rollout – East</v>
      </c>
      <c r="C114" s="17" t="str">
        <f>Investment_Master!C114</f>
        <v>Automation</v>
      </c>
      <c r="D114" s="17" t="str">
        <f>Investment_Master!D114</f>
        <v>IT</v>
      </c>
      <c r="E114" s="19">
        <f>Investment_Master!K114</f>
        <v>30160000</v>
      </c>
      <c r="F114" s="19">
        <f>Investment_Master!J114</f>
        <v>28940000</v>
      </c>
      <c r="G114" s="19">
        <f t="shared" si="9"/>
        <v>-1220000</v>
      </c>
      <c r="H114" s="20">
        <f t="shared" si="10"/>
        <v>-4.0450928381962868E-2</v>
      </c>
      <c r="I114" s="17" t="str">
        <f t="shared" si="11"/>
        <v>Within Budget</v>
      </c>
    </row>
    <row r="115" spans="1:9" ht="15" customHeight="1" x14ac:dyDescent="0.25">
      <c r="A115" s="17" t="str">
        <f>Investment_Master!A115</f>
        <v>INV-111</v>
      </c>
      <c r="B115" s="17" t="str">
        <f>Investment_Master!B115</f>
        <v>Leadership Development – Central</v>
      </c>
      <c r="C115" s="17" t="str">
        <f>Investment_Master!C115</f>
        <v>Training</v>
      </c>
      <c r="D115" s="17" t="str">
        <f>Investment_Master!D115</f>
        <v>Product</v>
      </c>
      <c r="E115" s="19">
        <f>Investment_Master!K115</f>
        <v>5640000</v>
      </c>
      <c r="F115" s="19">
        <f>Investment_Master!J115</f>
        <v>5810000</v>
      </c>
      <c r="G115" s="19">
        <f t="shared" si="9"/>
        <v>170000</v>
      </c>
      <c r="H115" s="20">
        <f t="shared" si="10"/>
        <v>3.0141843971631204E-2</v>
      </c>
      <c r="I115" s="17" t="str">
        <f t="shared" si="11"/>
        <v>Moderate Overrun</v>
      </c>
    </row>
    <row r="116" spans="1:9" ht="15" customHeight="1" x14ac:dyDescent="0.25">
      <c r="A116" s="17" t="str">
        <f>Investment_Master!A116</f>
        <v>INV-112</v>
      </c>
      <c r="B116" s="17" t="str">
        <f>Investment_Master!B116</f>
        <v>Plant Utility Upgrade – South</v>
      </c>
      <c r="C116" s="17" t="str">
        <f>Investment_Master!C116</f>
        <v>Infrastructure</v>
      </c>
      <c r="D116" s="17" t="str">
        <f>Investment_Master!D116</f>
        <v>Marketing</v>
      </c>
      <c r="E116" s="19">
        <f>Investment_Master!K116</f>
        <v>54100000</v>
      </c>
      <c r="F116" s="19">
        <f>Investment_Master!J116</f>
        <v>56870000</v>
      </c>
      <c r="G116" s="19">
        <f t="shared" si="9"/>
        <v>2770000</v>
      </c>
      <c r="H116" s="20">
        <f t="shared" si="10"/>
        <v>5.1201478743068393E-2</v>
      </c>
      <c r="I116" s="17" t="str">
        <f t="shared" si="11"/>
        <v>Significant Overrun</v>
      </c>
    </row>
    <row r="117" spans="1:9" ht="15" customHeight="1" x14ac:dyDescent="0.25">
      <c r="A117" s="17" t="str">
        <f>Investment_Master!A117</f>
        <v>INV-113</v>
      </c>
      <c r="B117" s="17" t="str">
        <f>Investment_Master!B117</f>
        <v>ERP Cloud Migration – West</v>
      </c>
      <c r="C117" s="17" t="str">
        <f>Investment_Master!C117</f>
        <v>Technology</v>
      </c>
      <c r="D117" s="17" t="str">
        <f>Investment_Master!D117</f>
        <v>HR</v>
      </c>
      <c r="E117" s="19">
        <f>Investment_Master!K117</f>
        <v>8680000</v>
      </c>
      <c r="F117" s="19">
        <f>Investment_Master!J117</f>
        <v>8580000</v>
      </c>
      <c r="G117" s="19">
        <f t="shared" si="9"/>
        <v>-100000</v>
      </c>
      <c r="H117" s="20">
        <f t="shared" si="10"/>
        <v>-1.1520737327188941E-2</v>
      </c>
      <c r="I117" s="17" t="str">
        <f t="shared" si="11"/>
        <v>Within Budget</v>
      </c>
    </row>
    <row r="118" spans="1:9" ht="15" customHeight="1" x14ac:dyDescent="0.25">
      <c r="A118" s="17" t="str">
        <f>Investment_Master!A118</f>
        <v>INV-114</v>
      </c>
      <c r="B118" s="17" t="str">
        <f>Investment_Master!B118</f>
        <v>Brand Repositioning – North</v>
      </c>
      <c r="C118" s="17" t="str">
        <f>Investment_Master!C118</f>
        <v>Marketing</v>
      </c>
      <c r="D118" s="17" t="str">
        <f>Investment_Master!D118</f>
        <v>Supply Chain</v>
      </c>
      <c r="E118" s="19">
        <f>Investment_Master!K118</f>
        <v>11310000</v>
      </c>
      <c r="F118" s="19">
        <f>Investment_Master!J118</f>
        <v>10810000</v>
      </c>
      <c r="G118" s="19">
        <f t="shared" si="9"/>
        <v>-500000</v>
      </c>
      <c r="H118" s="20">
        <f t="shared" si="10"/>
        <v>-4.4208664898320073E-2</v>
      </c>
      <c r="I118" s="17" t="str">
        <f t="shared" si="11"/>
        <v>Within Budget</v>
      </c>
    </row>
    <row r="119" spans="1:9" ht="15" customHeight="1" x14ac:dyDescent="0.25">
      <c r="A119" s="17" t="str">
        <f>Investment_Master!A119</f>
        <v>INV-115</v>
      </c>
      <c r="B119" s="17" t="str">
        <f>Investment_Master!B119</f>
        <v>Premium Product Line – East</v>
      </c>
      <c r="C119" s="17" t="str">
        <f>Investment_Master!C119</f>
        <v>Product Development</v>
      </c>
      <c r="D119" s="17" t="str">
        <f>Investment_Master!D119</f>
        <v>Operations</v>
      </c>
      <c r="E119" s="19">
        <f>Investment_Master!K119</f>
        <v>31040000</v>
      </c>
      <c r="F119" s="19">
        <f>Investment_Master!J119</f>
        <v>33160000</v>
      </c>
      <c r="G119" s="19">
        <f t="shared" si="9"/>
        <v>2120000</v>
      </c>
      <c r="H119" s="20">
        <f t="shared" si="10"/>
        <v>6.8298969072164942E-2</v>
      </c>
      <c r="I119" s="17" t="str">
        <f t="shared" si="11"/>
        <v>Significant Overrun</v>
      </c>
    </row>
    <row r="120" spans="1:9" ht="15" customHeight="1" x14ac:dyDescent="0.25">
      <c r="A120" s="17" t="str">
        <f>Investment_Master!A120</f>
        <v>INV-116</v>
      </c>
      <c r="B120" s="17" t="str">
        <f>Investment_Master!B120</f>
        <v>Tier-2 City Expansion – Central</v>
      </c>
      <c r="C120" s="17" t="str">
        <f>Investment_Master!C120</f>
        <v>Expansion</v>
      </c>
      <c r="D120" s="17" t="str">
        <f>Investment_Master!D120</f>
        <v>Finance</v>
      </c>
      <c r="E120" s="19">
        <f>Investment_Master!K120</f>
        <v>36910000</v>
      </c>
      <c r="F120" s="19">
        <f>Investment_Master!J120</f>
        <v>38380000</v>
      </c>
      <c r="G120" s="19">
        <f t="shared" si="9"/>
        <v>1470000</v>
      </c>
      <c r="H120" s="20">
        <f t="shared" si="10"/>
        <v>3.9826605256028179E-2</v>
      </c>
      <c r="I120" s="17" t="str">
        <f t="shared" si="11"/>
        <v>Moderate Overrun</v>
      </c>
    </row>
    <row r="121" spans="1:9" ht="15" customHeight="1" x14ac:dyDescent="0.25">
      <c r="A121" s="17" t="str">
        <f>Investment_Master!A121</f>
        <v>INV-117</v>
      </c>
      <c r="B121" s="17" t="str">
        <f>Investment_Master!B121</f>
        <v>Automated Packaging Line – South</v>
      </c>
      <c r="C121" s="17" t="str">
        <f>Investment_Master!C121</f>
        <v>Equipment</v>
      </c>
      <c r="D121" s="17" t="str">
        <f>Investment_Master!D121</f>
        <v>Sales</v>
      </c>
      <c r="E121" s="19">
        <f>Investment_Master!K121</f>
        <v>23640000</v>
      </c>
      <c r="F121" s="19">
        <f>Investment_Master!J121</f>
        <v>24650000</v>
      </c>
      <c r="G121" s="19">
        <f t="shared" si="9"/>
        <v>1010000</v>
      </c>
      <c r="H121" s="20">
        <f t="shared" si="10"/>
        <v>4.2724196277495768E-2</v>
      </c>
      <c r="I121" s="17" t="str">
        <f t="shared" si="11"/>
        <v>Moderate Overrun</v>
      </c>
    </row>
    <row r="122" spans="1:9" ht="15" customHeight="1" x14ac:dyDescent="0.25">
      <c r="A122" s="17" t="str">
        <f>Investment_Master!A122</f>
        <v>INV-118</v>
      </c>
      <c r="B122" s="17" t="str">
        <f>Investment_Master!B122</f>
        <v>RPA Finance Rollout – West</v>
      </c>
      <c r="C122" s="17" t="str">
        <f>Investment_Master!C122</f>
        <v>Automation</v>
      </c>
      <c r="D122" s="17" t="str">
        <f>Investment_Master!D122</f>
        <v>IT</v>
      </c>
      <c r="E122" s="19">
        <f>Investment_Master!K122</f>
        <v>25910000</v>
      </c>
      <c r="F122" s="19">
        <f>Investment_Master!J122</f>
        <v>24120000</v>
      </c>
      <c r="G122" s="19">
        <f t="shared" si="9"/>
        <v>-1790000</v>
      </c>
      <c r="H122" s="20">
        <f t="shared" si="10"/>
        <v>-6.9085295252798148E-2</v>
      </c>
      <c r="I122" s="17" t="str">
        <f t="shared" si="11"/>
        <v>Within Budget</v>
      </c>
    </row>
    <row r="123" spans="1:9" ht="15" customHeight="1" x14ac:dyDescent="0.25">
      <c r="A123" s="17" t="str">
        <f>Investment_Master!A123</f>
        <v>INV-119</v>
      </c>
      <c r="B123" s="17" t="str">
        <f>Investment_Master!B123</f>
        <v>Leadership Development – North</v>
      </c>
      <c r="C123" s="17" t="str">
        <f>Investment_Master!C123</f>
        <v>Training</v>
      </c>
      <c r="D123" s="17" t="str">
        <f>Investment_Master!D123</f>
        <v>Product</v>
      </c>
      <c r="E123" s="19">
        <f>Investment_Master!K123</f>
        <v>6640000</v>
      </c>
      <c r="F123" s="19">
        <f>Investment_Master!J123</f>
        <v>6210000</v>
      </c>
      <c r="G123" s="19">
        <f t="shared" si="9"/>
        <v>-430000</v>
      </c>
      <c r="H123" s="20">
        <f t="shared" si="10"/>
        <v>-6.4759036144578314E-2</v>
      </c>
      <c r="I123" s="17" t="str">
        <f t="shared" si="11"/>
        <v>Within Budget</v>
      </c>
    </row>
    <row r="124" spans="1:9" ht="15" customHeight="1" x14ac:dyDescent="0.25">
      <c r="A124" s="17" t="str">
        <f>Investment_Master!A124</f>
        <v>INV-120</v>
      </c>
      <c r="B124" s="17" t="str">
        <f>Investment_Master!B124</f>
        <v>Plant Utility Upgrade – East</v>
      </c>
      <c r="C124" s="17" t="str">
        <f>Investment_Master!C124</f>
        <v>Infrastructure</v>
      </c>
      <c r="D124" s="17" t="str">
        <f>Investment_Master!D124</f>
        <v>Marketing</v>
      </c>
      <c r="E124" s="19">
        <f>Investment_Master!K124</f>
        <v>34070000</v>
      </c>
      <c r="F124" s="19">
        <f>Investment_Master!J124</f>
        <v>33840000</v>
      </c>
      <c r="G124" s="19">
        <f t="shared" si="9"/>
        <v>-230000</v>
      </c>
      <c r="H124" s="20">
        <f t="shared" si="10"/>
        <v>-6.7508071617258586E-3</v>
      </c>
      <c r="I124" s="17" t="str">
        <f t="shared" si="11"/>
        <v>Within Budget</v>
      </c>
    </row>
    <row r="125" spans="1:9" ht="15" customHeight="1" x14ac:dyDescent="0.25">
      <c r="A125" s="17" t="str">
        <f>Investment_Master!A125</f>
        <v>INV-121</v>
      </c>
      <c r="B125" s="17" t="str">
        <f>Investment_Master!B125</f>
        <v>ERP Cloud Migration – Central</v>
      </c>
      <c r="C125" s="17" t="str">
        <f>Investment_Master!C125</f>
        <v>Technology</v>
      </c>
      <c r="D125" s="17" t="str">
        <f>Investment_Master!D125</f>
        <v>HR</v>
      </c>
      <c r="E125" s="19">
        <f>Investment_Master!K125</f>
        <v>30210000</v>
      </c>
      <c r="F125" s="19">
        <f>Investment_Master!J125</f>
        <v>28430000</v>
      </c>
      <c r="G125" s="19">
        <f t="shared" si="9"/>
        <v>-1780000</v>
      </c>
      <c r="H125" s="20">
        <f t="shared" si="10"/>
        <v>-5.8920887123469053E-2</v>
      </c>
      <c r="I125" s="17" t="str">
        <f t="shared" si="11"/>
        <v>Within Budget</v>
      </c>
    </row>
    <row r="126" spans="1:9" ht="15" customHeight="1" x14ac:dyDescent="0.25">
      <c r="A126" s="17" t="str">
        <f>Investment_Master!A126</f>
        <v>INV-122</v>
      </c>
      <c r="B126" s="17" t="str">
        <f>Investment_Master!B126</f>
        <v>Brand Repositioning – South</v>
      </c>
      <c r="C126" s="17" t="str">
        <f>Investment_Master!C126</f>
        <v>Marketing</v>
      </c>
      <c r="D126" s="17" t="str">
        <f>Investment_Master!D126</f>
        <v>Supply Chain</v>
      </c>
      <c r="E126" s="19">
        <f>Investment_Master!K126</f>
        <v>14060000</v>
      </c>
      <c r="F126" s="19">
        <f>Investment_Master!J126</f>
        <v>13420000</v>
      </c>
      <c r="G126" s="19">
        <f t="shared" si="9"/>
        <v>-640000</v>
      </c>
      <c r="H126" s="20">
        <f t="shared" si="10"/>
        <v>-4.5519203413940258E-2</v>
      </c>
      <c r="I126" s="17" t="str">
        <f t="shared" si="11"/>
        <v>Within Budget</v>
      </c>
    </row>
    <row r="127" spans="1:9" ht="15" customHeight="1" x14ac:dyDescent="0.25">
      <c r="A127" s="17" t="str">
        <f>Investment_Master!A127</f>
        <v>INV-123</v>
      </c>
      <c r="B127" s="17" t="str">
        <f>Investment_Master!B127</f>
        <v>Premium Product Line – West</v>
      </c>
      <c r="C127" s="17" t="str">
        <f>Investment_Master!C127</f>
        <v>Product Development</v>
      </c>
      <c r="D127" s="17" t="str">
        <f>Investment_Master!D127</f>
        <v>Operations</v>
      </c>
      <c r="E127" s="19">
        <f>Investment_Master!K127</f>
        <v>41420000</v>
      </c>
      <c r="F127" s="19">
        <f>Investment_Master!J127</f>
        <v>39910000</v>
      </c>
      <c r="G127" s="19">
        <f t="shared" si="9"/>
        <v>-1510000</v>
      </c>
      <c r="H127" s="20">
        <f t="shared" si="10"/>
        <v>-3.6455818445195555E-2</v>
      </c>
      <c r="I127" s="17" t="str">
        <f t="shared" si="11"/>
        <v>Within Budget</v>
      </c>
    </row>
    <row r="128" spans="1:9" ht="15" customHeight="1" x14ac:dyDescent="0.25">
      <c r="A128" s="17" t="str">
        <f>Investment_Master!A128</f>
        <v>INV-124</v>
      </c>
      <c r="B128" s="17" t="str">
        <f>Investment_Master!B128</f>
        <v>Tier-2 City Expansion – North</v>
      </c>
      <c r="C128" s="17" t="str">
        <f>Investment_Master!C128</f>
        <v>Expansion</v>
      </c>
      <c r="D128" s="17" t="str">
        <f>Investment_Master!D128</f>
        <v>Finance</v>
      </c>
      <c r="E128" s="19">
        <f>Investment_Master!K128</f>
        <v>53430000</v>
      </c>
      <c r="F128" s="19">
        <f>Investment_Master!J128</f>
        <v>54680000</v>
      </c>
      <c r="G128" s="19">
        <f t="shared" si="9"/>
        <v>1250000</v>
      </c>
      <c r="H128" s="20">
        <f t="shared" si="10"/>
        <v>2.3395096387797118E-2</v>
      </c>
      <c r="I128" s="17" t="str">
        <f t="shared" si="11"/>
        <v>Moderate Overrun</v>
      </c>
    </row>
    <row r="129" spans="1:9" ht="15" customHeight="1" x14ac:dyDescent="0.25">
      <c r="A129" s="17" t="str">
        <f>Investment_Master!A129</f>
        <v>INV-125</v>
      </c>
      <c r="B129" s="17" t="str">
        <f>Investment_Master!B129</f>
        <v>Automated Packaging Line – East</v>
      </c>
      <c r="C129" s="17" t="str">
        <f>Investment_Master!C129</f>
        <v>Equipment</v>
      </c>
      <c r="D129" s="17" t="str">
        <f>Investment_Master!D129</f>
        <v>Sales</v>
      </c>
      <c r="E129" s="19">
        <f>Investment_Master!K129</f>
        <v>21790000</v>
      </c>
      <c r="F129" s="19">
        <f>Investment_Master!J129</f>
        <v>20260000</v>
      </c>
      <c r="G129" s="19">
        <f t="shared" si="9"/>
        <v>-1530000</v>
      </c>
      <c r="H129" s="20">
        <f t="shared" si="10"/>
        <v>-7.0215695273061041E-2</v>
      </c>
      <c r="I129" s="17" t="str">
        <f t="shared" si="11"/>
        <v>Within Budget</v>
      </c>
    </row>
    <row r="130" spans="1:9" ht="15" customHeight="1" x14ac:dyDescent="0.25">
      <c r="A130" s="17" t="str">
        <f>Investment_Master!A130</f>
        <v>INV-126</v>
      </c>
      <c r="B130" s="17" t="str">
        <f>Investment_Master!B130</f>
        <v>RPA Finance Rollout – Central</v>
      </c>
      <c r="C130" s="17" t="str">
        <f>Investment_Master!C130</f>
        <v>Automation</v>
      </c>
      <c r="D130" s="17" t="str">
        <f>Investment_Master!D130</f>
        <v>IT</v>
      </c>
      <c r="E130" s="19">
        <f>Investment_Master!K130</f>
        <v>26150000</v>
      </c>
      <c r="F130" s="19">
        <f>Investment_Master!J130</f>
        <v>25020000</v>
      </c>
      <c r="G130" s="19">
        <f t="shared" si="9"/>
        <v>-1130000</v>
      </c>
      <c r="H130" s="20">
        <f t="shared" si="10"/>
        <v>-4.3212237093690251E-2</v>
      </c>
      <c r="I130" s="17" t="str">
        <f t="shared" si="11"/>
        <v>Within Budget</v>
      </c>
    </row>
    <row r="131" spans="1:9" ht="15" customHeight="1" x14ac:dyDescent="0.25">
      <c r="A131" s="17" t="str">
        <f>Investment_Master!A131</f>
        <v>INV-127</v>
      </c>
      <c r="B131" s="17" t="str">
        <f>Investment_Master!B131</f>
        <v>Leadership Development – South</v>
      </c>
      <c r="C131" s="17" t="str">
        <f>Investment_Master!C131</f>
        <v>Training</v>
      </c>
      <c r="D131" s="17" t="str">
        <f>Investment_Master!D131</f>
        <v>Product</v>
      </c>
      <c r="E131" s="19">
        <f>Investment_Master!K131</f>
        <v>10470000</v>
      </c>
      <c r="F131" s="19">
        <f>Investment_Master!J131</f>
        <v>10260000</v>
      </c>
      <c r="G131" s="19">
        <f t="shared" si="9"/>
        <v>-210000</v>
      </c>
      <c r="H131" s="20">
        <f t="shared" si="10"/>
        <v>-2.0057306590257881E-2</v>
      </c>
      <c r="I131" s="17" t="str">
        <f t="shared" si="11"/>
        <v>Within Budget</v>
      </c>
    </row>
    <row r="132" spans="1:9" ht="15" customHeight="1" x14ac:dyDescent="0.25">
      <c r="A132" s="17" t="str">
        <f>Investment_Master!A132</f>
        <v>INV-128</v>
      </c>
      <c r="B132" s="17" t="str">
        <f>Investment_Master!B132</f>
        <v>Plant Utility Upgrade – West</v>
      </c>
      <c r="C132" s="17" t="str">
        <f>Investment_Master!C132</f>
        <v>Infrastructure</v>
      </c>
      <c r="D132" s="17" t="str">
        <f>Investment_Master!D132</f>
        <v>Marketing</v>
      </c>
      <c r="E132" s="19">
        <f>Investment_Master!K132</f>
        <v>41540000</v>
      </c>
      <c r="F132" s="19">
        <f>Investment_Master!J132</f>
        <v>41160000</v>
      </c>
      <c r="G132" s="19">
        <f t="shared" si="9"/>
        <v>-380000</v>
      </c>
      <c r="H132" s="20">
        <f t="shared" si="10"/>
        <v>-9.1478093403948007E-3</v>
      </c>
      <c r="I132" s="17" t="str">
        <f t="shared" si="11"/>
        <v>Within Budget</v>
      </c>
    </row>
    <row r="133" spans="1:9" ht="15" customHeight="1" x14ac:dyDescent="0.25">
      <c r="A133" s="17" t="str">
        <f>Investment_Master!A133</f>
        <v>INV-129</v>
      </c>
      <c r="B133" s="17" t="str">
        <f>Investment_Master!B133</f>
        <v>ERP Cloud Migration – North</v>
      </c>
      <c r="C133" s="17" t="str">
        <f>Investment_Master!C133</f>
        <v>Technology</v>
      </c>
      <c r="D133" s="17" t="str">
        <f>Investment_Master!D133</f>
        <v>HR</v>
      </c>
      <c r="E133" s="19">
        <f>Investment_Master!K133</f>
        <v>12980000</v>
      </c>
      <c r="F133" s="19">
        <f>Investment_Master!J133</f>
        <v>12250000</v>
      </c>
      <c r="G133" s="19">
        <f t="shared" ref="G133:G164" si="12">F133-E133</f>
        <v>-730000</v>
      </c>
      <c r="H133" s="20">
        <f t="shared" ref="H133:H164" si="13">IFERROR(G133/E133,0)</f>
        <v>-5.6240369799691832E-2</v>
      </c>
      <c r="I133" s="17" t="str">
        <f t="shared" ref="I133:I164" si="14">IF(H133&lt;=0,"Within Budget",IF(H133&lt;=5%,"Moderate Overrun","Significant Overrun"))</f>
        <v>Within Budget</v>
      </c>
    </row>
    <row r="134" spans="1:9" ht="15" customHeight="1" x14ac:dyDescent="0.25">
      <c r="A134" s="17" t="str">
        <f>Investment_Master!A134</f>
        <v>INV-130</v>
      </c>
      <c r="B134" s="17" t="str">
        <f>Investment_Master!B134</f>
        <v>Brand Repositioning – East</v>
      </c>
      <c r="C134" s="17" t="str">
        <f>Investment_Master!C134</f>
        <v>Marketing</v>
      </c>
      <c r="D134" s="17" t="str">
        <f>Investment_Master!D134</f>
        <v>Supply Chain</v>
      </c>
      <c r="E134" s="19">
        <f>Investment_Master!K134</f>
        <v>15910000</v>
      </c>
      <c r="F134" s="19">
        <f>Investment_Master!J134</f>
        <v>16720000</v>
      </c>
      <c r="G134" s="19">
        <f t="shared" si="12"/>
        <v>810000</v>
      </c>
      <c r="H134" s="20">
        <f t="shared" si="13"/>
        <v>5.0911376492771838E-2</v>
      </c>
      <c r="I134" s="17" t="str">
        <f t="shared" si="14"/>
        <v>Significant Overrun</v>
      </c>
    </row>
    <row r="135" spans="1:9" ht="15" customHeight="1" x14ac:dyDescent="0.25">
      <c r="A135" s="17" t="str">
        <f>Investment_Master!A135</f>
        <v>INV-131</v>
      </c>
      <c r="B135" s="17" t="str">
        <f>Investment_Master!B135</f>
        <v>Premium Product Line – Central</v>
      </c>
      <c r="C135" s="17" t="str">
        <f>Investment_Master!C135</f>
        <v>Product Development</v>
      </c>
      <c r="D135" s="17" t="str">
        <f>Investment_Master!D135</f>
        <v>Operations</v>
      </c>
      <c r="E135" s="19">
        <f>Investment_Master!K135</f>
        <v>31770000</v>
      </c>
      <c r="F135" s="19">
        <f>Investment_Master!J135</f>
        <v>32900000</v>
      </c>
      <c r="G135" s="19">
        <f t="shared" si="12"/>
        <v>1130000</v>
      </c>
      <c r="H135" s="20">
        <f t="shared" si="13"/>
        <v>3.5568146049732449E-2</v>
      </c>
      <c r="I135" s="17" t="str">
        <f t="shared" si="14"/>
        <v>Moderate Overrun</v>
      </c>
    </row>
    <row r="136" spans="1:9" ht="15" customHeight="1" x14ac:dyDescent="0.25">
      <c r="A136" s="17" t="str">
        <f>Investment_Master!A136</f>
        <v>INV-132</v>
      </c>
      <c r="B136" s="17" t="str">
        <f>Investment_Master!B136</f>
        <v>Tier-2 City Expansion – South</v>
      </c>
      <c r="C136" s="17" t="str">
        <f>Investment_Master!C136</f>
        <v>Expansion</v>
      </c>
      <c r="D136" s="17" t="str">
        <f>Investment_Master!D136</f>
        <v>Finance</v>
      </c>
      <c r="E136" s="19">
        <f>Investment_Master!K136</f>
        <v>28950000</v>
      </c>
      <c r="F136" s="19">
        <f>Investment_Master!J136</f>
        <v>27850000</v>
      </c>
      <c r="G136" s="19">
        <f t="shared" si="12"/>
        <v>-1100000</v>
      </c>
      <c r="H136" s="20">
        <f t="shared" si="13"/>
        <v>-3.7996545768566495E-2</v>
      </c>
      <c r="I136" s="17" t="str">
        <f t="shared" si="14"/>
        <v>Within Budget</v>
      </c>
    </row>
    <row r="137" spans="1:9" ht="15" customHeight="1" x14ac:dyDescent="0.25">
      <c r="A137" s="17" t="str">
        <f>Investment_Master!A137</f>
        <v>INV-133</v>
      </c>
      <c r="B137" s="17" t="str">
        <f>Investment_Master!B137</f>
        <v>Automated Packaging Line – West</v>
      </c>
      <c r="C137" s="17" t="str">
        <f>Investment_Master!C137</f>
        <v>Equipment</v>
      </c>
      <c r="D137" s="17" t="str">
        <f>Investment_Master!D137</f>
        <v>Sales</v>
      </c>
      <c r="E137" s="19">
        <f>Investment_Master!K137</f>
        <v>17780000</v>
      </c>
      <c r="F137" s="19">
        <f>Investment_Master!J137</f>
        <v>18280000</v>
      </c>
      <c r="G137" s="19">
        <f t="shared" si="12"/>
        <v>500000</v>
      </c>
      <c r="H137" s="20">
        <f t="shared" si="13"/>
        <v>2.81214848143982E-2</v>
      </c>
      <c r="I137" s="17" t="str">
        <f t="shared" si="14"/>
        <v>Moderate Overrun</v>
      </c>
    </row>
    <row r="138" spans="1:9" ht="15" customHeight="1" x14ac:dyDescent="0.25">
      <c r="A138" s="17" t="str">
        <f>Investment_Master!A138</f>
        <v>INV-134</v>
      </c>
      <c r="B138" s="17" t="str">
        <f>Investment_Master!B138</f>
        <v>RPA Finance Rollout – North</v>
      </c>
      <c r="C138" s="17" t="str">
        <f>Investment_Master!C138</f>
        <v>Automation</v>
      </c>
      <c r="D138" s="17" t="str">
        <f>Investment_Master!D138</f>
        <v>IT</v>
      </c>
      <c r="E138" s="19">
        <f>Investment_Master!K138</f>
        <v>11670000</v>
      </c>
      <c r="F138" s="19">
        <f>Investment_Master!J138</f>
        <v>12530000</v>
      </c>
      <c r="G138" s="19">
        <f t="shared" si="12"/>
        <v>860000</v>
      </c>
      <c r="H138" s="20">
        <f t="shared" si="13"/>
        <v>7.3693230505569834E-2</v>
      </c>
      <c r="I138" s="17" t="str">
        <f t="shared" si="14"/>
        <v>Significant Overrun</v>
      </c>
    </row>
    <row r="139" spans="1:9" ht="15" customHeight="1" x14ac:dyDescent="0.25">
      <c r="A139" s="17" t="str">
        <f>Investment_Master!A139</f>
        <v>INV-135</v>
      </c>
      <c r="B139" s="17" t="str">
        <f>Investment_Master!B139</f>
        <v>Leadership Development – East</v>
      </c>
      <c r="C139" s="17" t="str">
        <f>Investment_Master!C139</f>
        <v>Training</v>
      </c>
      <c r="D139" s="17" t="str">
        <f>Investment_Master!D139</f>
        <v>Product</v>
      </c>
      <c r="E139" s="19">
        <f>Investment_Master!K139</f>
        <v>3190000</v>
      </c>
      <c r="F139" s="19">
        <f>Investment_Master!J139</f>
        <v>3300000</v>
      </c>
      <c r="G139" s="19">
        <f t="shared" si="12"/>
        <v>110000</v>
      </c>
      <c r="H139" s="20">
        <f t="shared" si="13"/>
        <v>3.4482758620689655E-2</v>
      </c>
      <c r="I139" s="17" t="str">
        <f t="shared" si="14"/>
        <v>Moderate Overrun</v>
      </c>
    </row>
    <row r="140" spans="1:9" ht="15" customHeight="1" x14ac:dyDescent="0.25">
      <c r="A140" s="17" t="str">
        <f>Investment_Master!A140</f>
        <v>INV-136</v>
      </c>
      <c r="B140" s="17" t="str">
        <f>Investment_Master!B140</f>
        <v>Plant Utility Upgrade – Central</v>
      </c>
      <c r="C140" s="17" t="str">
        <f>Investment_Master!C140</f>
        <v>Infrastructure</v>
      </c>
      <c r="D140" s="17" t="str">
        <f>Investment_Master!D140</f>
        <v>Marketing</v>
      </c>
      <c r="E140" s="19">
        <f>Investment_Master!K140</f>
        <v>40710000</v>
      </c>
      <c r="F140" s="19">
        <f>Investment_Master!J140</f>
        <v>40580000</v>
      </c>
      <c r="G140" s="19">
        <f t="shared" si="12"/>
        <v>-130000</v>
      </c>
      <c r="H140" s="20">
        <f t="shared" si="13"/>
        <v>-3.1933185949398184E-3</v>
      </c>
      <c r="I140" s="17" t="str">
        <f t="shared" si="14"/>
        <v>Within Budget</v>
      </c>
    </row>
    <row r="141" spans="1:9" ht="15" customHeight="1" x14ac:dyDescent="0.25">
      <c r="A141" s="17" t="str">
        <f>Investment_Master!A141</f>
        <v>INV-137</v>
      </c>
      <c r="B141" s="17" t="str">
        <f>Investment_Master!B141</f>
        <v>ERP Cloud Migration – South</v>
      </c>
      <c r="C141" s="17" t="str">
        <f>Investment_Master!C141</f>
        <v>Technology</v>
      </c>
      <c r="D141" s="17" t="str">
        <f>Investment_Master!D141</f>
        <v>HR</v>
      </c>
      <c r="E141" s="19">
        <f>Investment_Master!K141</f>
        <v>10880000</v>
      </c>
      <c r="F141" s="19">
        <f>Investment_Master!J141</f>
        <v>11500000</v>
      </c>
      <c r="G141" s="19">
        <f t="shared" si="12"/>
        <v>620000</v>
      </c>
      <c r="H141" s="20">
        <f t="shared" si="13"/>
        <v>5.6985294117647058E-2</v>
      </c>
      <c r="I141" s="17" t="str">
        <f t="shared" si="14"/>
        <v>Significant Overrun</v>
      </c>
    </row>
    <row r="142" spans="1:9" ht="15" customHeight="1" x14ac:dyDescent="0.25">
      <c r="A142" s="17" t="str">
        <f>Investment_Master!A142</f>
        <v>INV-138</v>
      </c>
      <c r="B142" s="17" t="str">
        <f>Investment_Master!B142</f>
        <v>Brand Repositioning – West</v>
      </c>
      <c r="C142" s="17" t="str">
        <f>Investment_Master!C142</f>
        <v>Marketing</v>
      </c>
      <c r="D142" s="17" t="str">
        <f>Investment_Master!D142</f>
        <v>Supply Chain</v>
      </c>
      <c r="E142" s="19">
        <f>Investment_Master!K142</f>
        <v>15050000</v>
      </c>
      <c r="F142" s="19">
        <f>Investment_Master!J142</f>
        <v>15570000</v>
      </c>
      <c r="G142" s="19">
        <f t="shared" si="12"/>
        <v>520000</v>
      </c>
      <c r="H142" s="20">
        <f t="shared" si="13"/>
        <v>3.4551495016611297E-2</v>
      </c>
      <c r="I142" s="17" t="str">
        <f t="shared" si="14"/>
        <v>Moderate Overrun</v>
      </c>
    </row>
    <row r="143" spans="1:9" ht="15" customHeight="1" x14ac:dyDescent="0.25">
      <c r="A143" s="17" t="str">
        <f>Investment_Master!A143</f>
        <v>INV-139</v>
      </c>
      <c r="B143" s="17" t="str">
        <f>Investment_Master!B143</f>
        <v>Premium Product Line – North</v>
      </c>
      <c r="C143" s="17" t="str">
        <f>Investment_Master!C143</f>
        <v>Product Development</v>
      </c>
      <c r="D143" s="17" t="str">
        <f>Investment_Master!D143</f>
        <v>Operations</v>
      </c>
      <c r="E143" s="19">
        <f>Investment_Master!K143</f>
        <v>17140000</v>
      </c>
      <c r="F143" s="19">
        <f>Investment_Master!J143</f>
        <v>16640000</v>
      </c>
      <c r="G143" s="19">
        <f t="shared" si="12"/>
        <v>-500000</v>
      </c>
      <c r="H143" s="20">
        <f t="shared" si="13"/>
        <v>-2.9171528588098017E-2</v>
      </c>
      <c r="I143" s="17" t="str">
        <f t="shared" si="14"/>
        <v>Within Budget</v>
      </c>
    </row>
    <row r="144" spans="1:9" ht="15" customHeight="1" x14ac:dyDescent="0.25">
      <c r="A144" s="17" t="str">
        <f>Investment_Master!A144</f>
        <v>INV-140</v>
      </c>
      <c r="B144" s="17" t="str">
        <f>Investment_Master!B144</f>
        <v>Tier-2 City Expansion – East</v>
      </c>
      <c r="C144" s="17" t="str">
        <f>Investment_Master!C144</f>
        <v>Expansion</v>
      </c>
      <c r="D144" s="17" t="str">
        <f>Investment_Master!D144</f>
        <v>Finance</v>
      </c>
      <c r="E144" s="19">
        <f>Investment_Master!K144</f>
        <v>63100000</v>
      </c>
      <c r="F144" s="19">
        <f>Investment_Master!J144</f>
        <v>65110000</v>
      </c>
      <c r="G144" s="19">
        <f t="shared" si="12"/>
        <v>2010000</v>
      </c>
      <c r="H144" s="20">
        <f t="shared" si="13"/>
        <v>3.1854199683042789E-2</v>
      </c>
      <c r="I144" s="17" t="str">
        <f t="shared" si="14"/>
        <v>Moderate Overrun</v>
      </c>
    </row>
    <row r="145" spans="1:9" ht="15" customHeight="1" x14ac:dyDescent="0.25">
      <c r="A145" s="17" t="str">
        <f>Investment_Master!A145</f>
        <v>INV-141</v>
      </c>
      <c r="B145" s="17" t="str">
        <f>Investment_Master!B145</f>
        <v>Automated Packaging Line – Central</v>
      </c>
      <c r="C145" s="17" t="str">
        <f>Investment_Master!C145</f>
        <v>Equipment</v>
      </c>
      <c r="D145" s="17" t="str">
        <f>Investment_Master!D145</f>
        <v>Sales</v>
      </c>
      <c r="E145" s="19">
        <f>Investment_Master!K145</f>
        <v>18200000</v>
      </c>
      <c r="F145" s="19">
        <f>Investment_Master!J145</f>
        <v>17330000</v>
      </c>
      <c r="G145" s="19">
        <f t="shared" si="12"/>
        <v>-870000</v>
      </c>
      <c r="H145" s="20">
        <f t="shared" si="13"/>
        <v>-4.7802197802197799E-2</v>
      </c>
      <c r="I145" s="17" t="str">
        <f t="shared" si="14"/>
        <v>Within Budget</v>
      </c>
    </row>
    <row r="146" spans="1:9" ht="15" customHeight="1" x14ac:dyDescent="0.25">
      <c r="A146" s="17" t="str">
        <f>Investment_Master!A146</f>
        <v>INV-142</v>
      </c>
      <c r="B146" s="17" t="str">
        <f>Investment_Master!B146</f>
        <v>RPA Finance Rollout – South</v>
      </c>
      <c r="C146" s="17" t="str">
        <f>Investment_Master!C146</f>
        <v>Automation</v>
      </c>
      <c r="D146" s="17" t="str">
        <f>Investment_Master!D146</f>
        <v>IT</v>
      </c>
      <c r="E146" s="19">
        <f>Investment_Master!K146</f>
        <v>21070000</v>
      </c>
      <c r="F146" s="19">
        <f>Investment_Master!J146</f>
        <v>22060000</v>
      </c>
      <c r="G146" s="19">
        <f t="shared" si="12"/>
        <v>990000</v>
      </c>
      <c r="H146" s="20">
        <f t="shared" si="13"/>
        <v>4.6986236355007122E-2</v>
      </c>
      <c r="I146" s="17" t="str">
        <f t="shared" si="14"/>
        <v>Moderate Overrun</v>
      </c>
    </row>
    <row r="147" spans="1:9" ht="15" customHeight="1" x14ac:dyDescent="0.25">
      <c r="A147" s="17" t="str">
        <f>Investment_Master!A147</f>
        <v>INV-143</v>
      </c>
      <c r="B147" s="17" t="str">
        <f>Investment_Master!B147</f>
        <v>Leadership Development – West</v>
      </c>
      <c r="C147" s="17" t="str">
        <f>Investment_Master!C147</f>
        <v>Training</v>
      </c>
      <c r="D147" s="17" t="str">
        <f>Investment_Master!D147</f>
        <v>Product</v>
      </c>
      <c r="E147" s="19">
        <f>Investment_Master!K147</f>
        <v>10960000</v>
      </c>
      <c r="F147" s="19">
        <f>Investment_Master!J147</f>
        <v>10700000</v>
      </c>
      <c r="G147" s="19">
        <f t="shared" si="12"/>
        <v>-260000</v>
      </c>
      <c r="H147" s="20">
        <f t="shared" si="13"/>
        <v>-2.3722627737226276E-2</v>
      </c>
      <c r="I147" s="17" t="str">
        <f t="shared" si="14"/>
        <v>Within Budget</v>
      </c>
    </row>
    <row r="148" spans="1:9" ht="15" customHeight="1" x14ac:dyDescent="0.25">
      <c r="A148" s="17" t="str">
        <f>Investment_Master!A148</f>
        <v>INV-144</v>
      </c>
      <c r="B148" s="17" t="str">
        <f>Investment_Master!B148</f>
        <v>Plant Utility Upgrade – North</v>
      </c>
      <c r="C148" s="17" t="str">
        <f>Investment_Master!C148</f>
        <v>Infrastructure</v>
      </c>
      <c r="D148" s="17" t="str">
        <f>Investment_Master!D148</f>
        <v>Marketing</v>
      </c>
      <c r="E148" s="19">
        <f>Investment_Master!K148</f>
        <v>39220000</v>
      </c>
      <c r="F148" s="19">
        <f>Investment_Master!J148</f>
        <v>36800000</v>
      </c>
      <c r="G148" s="19">
        <f t="shared" si="12"/>
        <v>-2420000</v>
      </c>
      <c r="H148" s="20">
        <f t="shared" si="13"/>
        <v>-6.1703212646608871E-2</v>
      </c>
      <c r="I148" s="17" t="str">
        <f t="shared" si="14"/>
        <v>Within Budget</v>
      </c>
    </row>
    <row r="149" spans="1:9" ht="15" customHeight="1" x14ac:dyDescent="0.25">
      <c r="A149" s="17" t="str">
        <f>Investment_Master!A149</f>
        <v>INV-145</v>
      </c>
      <c r="B149" s="17" t="str">
        <f>Investment_Master!B149</f>
        <v>ERP Cloud Migration – East</v>
      </c>
      <c r="C149" s="17" t="str">
        <f>Investment_Master!C149</f>
        <v>Technology</v>
      </c>
      <c r="D149" s="17" t="str">
        <f>Investment_Master!D149</f>
        <v>HR</v>
      </c>
      <c r="E149" s="19">
        <f>Investment_Master!K149</f>
        <v>9490000</v>
      </c>
      <c r="F149" s="19">
        <f>Investment_Master!J149</f>
        <v>9940000</v>
      </c>
      <c r="G149" s="19">
        <f t="shared" si="12"/>
        <v>450000</v>
      </c>
      <c r="H149" s="20">
        <f t="shared" si="13"/>
        <v>4.7418335089567963E-2</v>
      </c>
      <c r="I149" s="17" t="str">
        <f t="shared" si="14"/>
        <v>Moderate Overrun</v>
      </c>
    </row>
    <row r="150" spans="1:9" ht="15" customHeight="1" x14ac:dyDescent="0.25">
      <c r="A150" s="17" t="str">
        <f>Investment_Master!A150</f>
        <v>INV-146</v>
      </c>
      <c r="B150" s="17" t="str">
        <f>Investment_Master!B150</f>
        <v>Brand Repositioning – Central</v>
      </c>
      <c r="C150" s="17" t="str">
        <f>Investment_Master!C150</f>
        <v>Marketing</v>
      </c>
      <c r="D150" s="17" t="str">
        <f>Investment_Master!D150</f>
        <v>Supply Chain</v>
      </c>
      <c r="E150" s="19">
        <f>Investment_Master!K150</f>
        <v>21860000</v>
      </c>
      <c r="F150" s="19">
        <f>Investment_Master!J150</f>
        <v>20540000</v>
      </c>
      <c r="G150" s="19">
        <f t="shared" si="12"/>
        <v>-1320000</v>
      </c>
      <c r="H150" s="20">
        <f t="shared" si="13"/>
        <v>-6.0384263494967977E-2</v>
      </c>
      <c r="I150" s="17" t="str">
        <f t="shared" si="14"/>
        <v>Within Budget</v>
      </c>
    </row>
    <row r="151" spans="1:9" ht="15" customHeight="1" x14ac:dyDescent="0.25">
      <c r="A151" s="17" t="str">
        <f>Investment_Master!A151</f>
        <v>INV-147</v>
      </c>
      <c r="B151" s="17" t="str">
        <f>Investment_Master!B151</f>
        <v>Premium Product Line – South</v>
      </c>
      <c r="C151" s="17" t="str">
        <f>Investment_Master!C151</f>
        <v>Product Development</v>
      </c>
      <c r="D151" s="17" t="str">
        <f>Investment_Master!D151</f>
        <v>Operations</v>
      </c>
      <c r="E151" s="19">
        <f>Investment_Master!K151</f>
        <v>26340000</v>
      </c>
      <c r="F151" s="19">
        <f>Investment_Master!J151</f>
        <v>25030000</v>
      </c>
      <c r="G151" s="19">
        <f t="shared" si="12"/>
        <v>-1310000</v>
      </c>
      <c r="H151" s="20">
        <f t="shared" si="13"/>
        <v>-4.9734244495064542E-2</v>
      </c>
      <c r="I151" s="17" t="str">
        <f t="shared" si="14"/>
        <v>Within Budget</v>
      </c>
    </row>
    <row r="152" spans="1:9" ht="15" customHeight="1" x14ac:dyDescent="0.25">
      <c r="A152" s="17" t="str">
        <f>Investment_Master!A152</f>
        <v>INV-148</v>
      </c>
      <c r="B152" s="17" t="str">
        <f>Investment_Master!B152</f>
        <v>Tier-2 City Expansion – West</v>
      </c>
      <c r="C152" s="17" t="str">
        <f>Investment_Master!C152</f>
        <v>Expansion</v>
      </c>
      <c r="D152" s="17" t="str">
        <f>Investment_Master!D152</f>
        <v>Finance</v>
      </c>
      <c r="E152" s="19">
        <f>Investment_Master!K152</f>
        <v>24600000</v>
      </c>
      <c r="F152" s="19">
        <f>Investment_Master!J152</f>
        <v>22800000</v>
      </c>
      <c r="G152" s="19">
        <f t="shared" si="12"/>
        <v>-1800000</v>
      </c>
      <c r="H152" s="20">
        <f t="shared" si="13"/>
        <v>-7.3170731707317069E-2</v>
      </c>
      <c r="I152" s="17" t="str">
        <f t="shared" si="14"/>
        <v>Within Budget</v>
      </c>
    </row>
    <row r="153" spans="1:9" ht="15" customHeight="1" x14ac:dyDescent="0.25">
      <c r="A153" s="17" t="str">
        <f>Investment_Master!A153</f>
        <v>INV-149</v>
      </c>
      <c r="B153" s="17" t="str">
        <f>Investment_Master!B153</f>
        <v>Automated Packaging Line – North</v>
      </c>
      <c r="C153" s="17" t="str">
        <f>Investment_Master!C153</f>
        <v>Equipment</v>
      </c>
      <c r="D153" s="17" t="str">
        <f>Investment_Master!D153</f>
        <v>Sales</v>
      </c>
      <c r="E153" s="19">
        <f>Investment_Master!K153</f>
        <v>39880000</v>
      </c>
      <c r="F153" s="19">
        <f>Investment_Master!J153</f>
        <v>36690000</v>
      </c>
      <c r="G153" s="19">
        <f t="shared" si="12"/>
        <v>-3190000</v>
      </c>
      <c r="H153" s="20">
        <f t="shared" si="13"/>
        <v>-7.9989969909729189E-2</v>
      </c>
      <c r="I153" s="17" t="str">
        <f t="shared" si="14"/>
        <v>Within Budget</v>
      </c>
    </row>
    <row r="154" spans="1:9" ht="15" customHeight="1" x14ac:dyDescent="0.25">
      <c r="A154" s="17" t="str">
        <f>Investment_Master!A154</f>
        <v>INV-150</v>
      </c>
      <c r="B154" s="17" t="str">
        <f>Investment_Master!B154</f>
        <v>RPA Finance Rollout – East</v>
      </c>
      <c r="C154" s="17" t="str">
        <f>Investment_Master!C154</f>
        <v>Automation</v>
      </c>
      <c r="D154" s="17" t="str">
        <f>Investment_Master!D154</f>
        <v>IT</v>
      </c>
      <c r="E154" s="19">
        <f>Investment_Master!K154</f>
        <v>16410000</v>
      </c>
      <c r="F154" s="19">
        <f>Investment_Master!J154</f>
        <v>17760000</v>
      </c>
      <c r="G154" s="19">
        <f t="shared" si="12"/>
        <v>1350000</v>
      </c>
      <c r="H154" s="20">
        <f t="shared" si="13"/>
        <v>8.226691042047532E-2</v>
      </c>
      <c r="I154" s="17" t="str">
        <f t="shared" si="14"/>
        <v>Significant Overrun</v>
      </c>
    </row>
  </sheetData>
  <mergeCells count="2">
    <mergeCell ref="A1:H1"/>
    <mergeCell ref="A2:H2"/>
  </mergeCells>
  <conditionalFormatting sqref="H5:H154">
    <cfRule type="colorScale" priority="2">
      <colorScale>
        <cfvo type="num" val="-0.05"/>
        <cfvo type="num" val="0.05"/>
        <cfvo type="num" val="0.15"/>
        <color rgb="FF70AD47"/>
        <color rgb="FFFFD966"/>
        <color rgb="FFC00000"/>
      </colorScale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4"/>
  <sheetViews>
    <sheetView zoomScale="90" zoomScaleNormal="90" workbookViewId="0">
      <pane ySplit="4" topLeftCell="A5" activePane="bottomLeft" state="frozen"/>
      <selection pane="bottomLeft" sqref="A1:H1"/>
    </sheetView>
  </sheetViews>
  <sheetFormatPr defaultColWidth="8.7109375" defaultRowHeight="15" customHeight="1" x14ac:dyDescent="0.25"/>
  <cols>
    <col min="1" max="1" width="22" style="15" customWidth="1"/>
    <col min="2" max="2" width="20" style="15" customWidth="1"/>
    <col min="3" max="5" width="18" style="15" customWidth="1"/>
    <col min="6" max="6" width="12" style="15" customWidth="1"/>
    <col min="7" max="7" width="18" style="15" customWidth="1"/>
    <col min="8" max="8" width="16" style="15" customWidth="1"/>
    <col min="9" max="10" width="14" style="15" customWidth="1"/>
  </cols>
  <sheetData>
    <row r="1" spans="1:10" ht="30" customHeight="1" x14ac:dyDescent="0.25">
      <c r="A1" s="14" t="s">
        <v>284</v>
      </c>
      <c r="B1" s="14"/>
      <c r="C1" s="14"/>
      <c r="D1" s="14"/>
      <c r="E1" s="14"/>
      <c r="F1" s="14"/>
      <c r="G1" s="14"/>
      <c r="H1" s="14"/>
    </row>
    <row r="2" spans="1:10" ht="19.5" customHeight="1" x14ac:dyDescent="0.25">
      <c r="A2" s="13" t="s">
        <v>285</v>
      </c>
      <c r="B2" s="13"/>
      <c r="C2" s="13"/>
      <c r="D2" s="13"/>
      <c r="E2" s="13"/>
      <c r="F2" s="13"/>
      <c r="G2" s="13"/>
      <c r="H2" s="13"/>
    </row>
    <row r="4" spans="1:10" ht="27.75" customHeight="1" x14ac:dyDescent="0.25">
      <c r="A4" s="16" t="s">
        <v>5</v>
      </c>
      <c r="B4" s="16" t="s">
        <v>258</v>
      </c>
      <c r="C4" s="16" t="s">
        <v>286</v>
      </c>
      <c r="D4" s="16" t="s">
        <v>287</v>
      </c>
      <c r="E4" s="16" t="s">
        <v>288</v>
      </c>
      <c r="F4" s="16" t="s">
        <v>289</v>
      </c>
      <c r="G4" s="16" t="s">
        <v>290</v>
      </c>
      <c r="H4" s="16" t="s">
        <v>291</v>
      </c>
      <c r="I4" s="16" t="s">
        <v>292</v>
      </c>
      <c r="J4" s="16" t="s">
        <v>293</v>
      </c>
    </row>
    <row r="5" spans="1:10" ht="15" customHeight="1" x14ac:dyDescent="0.25">
      <c r="A5" s="17" t="s">
        <v>48</v>
      </c>
      <c r="B5" s="19">
        <f>SUMIF(Investment_Master!$D$5:$D$154,A5,Investment_Master!$J$5:$J$154)</f>
        <v>504680000</v>
      </c>
      <c r="C5" s="19">
        <f>SUMIF(Investment_Master!$D$5:$D$154,A5,Investment_Master!$M$5:$M$154)</f>
        <v>519900476.95712882</v>
      </c>
      <c r="D5" s="19">
        <f>SUMIF(Investment_Master!$D$5:$D$154,A5,Investment_Master!$O$5:$O$154)</f>
        <v>60894507.355422184</v>
      </c>
      <c r="E5" s="19">
        <f t="shared" ref="E5:E12" si="0">C5+D5-B5</f>
        <v>76114984.312551022</v>
      </c>
      <c r="F5" s="20">
        <f t="shared" ref="F5:F12" si="1">IFERROR(E5/B5,0)</f>
        <v>0.1508183092505172</v>
      </c>
      <c r="G5" s="19">
        <f>AVERAGEIF(Investment_Master!$D$5:$D$154,A5,Investment_Master!$W$5:$W$154)</f>
        <v>-3869214.5300315171</v>
      </c>
      <c r="H5" s="21">
        <f>AVERAGEIF(Investment_Master!$D$5:$D$154,A5,Investment_Master!$V$5:$V$154)</f>
        <v>4.3511502234497357</v>
      </c>
      <c r="I5" s="17">
        <f>IFERROR(AVERAGE(IF(Investment_Master!$D$5:$D$154=A5,IF(Investment_Master!$AA$5:$AA$154="Low",1,IF(Investment_Master!$AA$5:$AA$154="Medium",2,3)))),0)</f>
        <v>0</v>
      </c>
      <c r="J5" s="17">
        <f>COUNTIF(Investment_Master!$D$5:$D$154,A5)</f>
        <v>19</v>
      </c>
    </row>
    <row r="6" spans="1:10" ht="15" customHeight="1" x14ac:dyDescent="0.25">
      <c r="A6" s="17" t="s">
        <v>27</v>
      </c>
      <c r="B6" s="19">
        <f>SUMIF(Investment_Master!$D$5:$D$154,A6,Investment_Master!$J$5:$J$154)</f>
        <v>692480000</v>
      </c>
      <c r="C6" s="19">
        <f>SUMIF(Investment_Master!$D$5:$D$154,A6,Investment_Master!$M$5:$M$154)</f>
        <v>662628940.94506729</v>
      </c>
      <c r="D6" s="19">
        <f>SUMIF(Investment_Master!$D$5:$D$154,A6,Investment_Master!$O$5:$O$154)</f>
        <v>94809760.096772462</v>
      </c>
      <c r="E6" s="19">
        <f t="shared" si="0"/>
        <v>64958701.041839719</v>
      </c>
      <c r="F6" s="20">
        <f t="shared" si="1"/>
        <v>9.3805887595078158E-2</v>
      </c>
      <c r="G6" s="19">
        <f>AVERAGEIF(Investment_Master!$D$5:$D$154,A6,Investment_Master!$W$5:$W$154)</f>
        <v>-7283725.6725137876</v>
      </c>
      <c r="H6" s="21">
        <f>AVERAGEIF(Investment_Master!$D$5:$D$154,A6,Investment_Master!$V$5:$V$154)</f>
        <v>4.6041176966047681</v>
      </c>
      <c r="I6" s="17">
        <f>IFERROR(AVERAGE(IF(Investment_Master!$D$5:$D$154=A6,IF(Investment_Master!$AA$5:$AA$154="Low",1,IF(Investment_Master!$AA$5:$AA$154="Medium",2,3)))),0)</f>
        <v>0</v>
      </c>
      <c r="J6" s="17">
        <f>COUNTIF(Investment_Master!$D$5:$D$154,A6)</f>
        <v>18</v>
      </c>
    </row>
    <row r="7" spans="1:10" ht="15" customHeight="1" x14ac:dyDescent="0.25">
      <c r="A7" s="17" t="s">
        <v>35</v>
      </c>
      <c r="B7" s="19">
        <f>SUMIF(Investment_Master!$D$5:$D$154,A7,Investment_Master!$J$5:$J$154)</f>
        <v>535570000</v>
      </c>
      <c r="C7" s="19">
        <f>SUMIF(Investment_Master!$D$5:$D$154,A7,Investment_Master!$M$5:$M$154)</f>
        <v>510990757.05007648</v>
      </c>
      <c r="D7" s="19">
        <f>SUMIF(Investment_Master!$D$5:$D$154,A7,Investment_Master!$O$5:$O$154)</f>
        <v>61869835.304721802</v>
      </c>
      <c r="E7" s="19">
        <f t="shared" si="0"/>
        <v>37290592.354798317</v>
      </c>
      <c r="F7" s="20">
        <f t="shared" si="1"/>
        <v>6.9627858832269018E-2</v>
      </c>
      <c r="G7" s="19">
        <f>AVERAGEIF(Investment_Master!$D$5:$D$154,A7,Investment_Master!$W$5:$W$154)</f>
        <v>-5716968.7686398206</v>
      </c>
      <c r="H7" s="21">
        <f>AVERAGEIF(Investment_Master!$D$5:$D$154,A7,Investment_Master!$V$5:$V$154)</f>
        <v>4.694780050566921</v>
      </c>
      <c r="I7" s="17">
        <f>IFERROR(AVERAGE(IF(Investment_Master!$D$5:$D$154=A7,IF(Investment_Master!$AA$5:$AA$154="Low",1,IF(Investment_Master!$AA$5:$AA$154="Medium",2,3)))),0)</f>
        <v>2</v>
      </c>
      <c r="J7" s="17">
        <f>COUNTIF(Investment_Master!$D$5:$D$154,A7)</f>
        <v>19</v>
      </c>
    </row>
    <row r="8" spans="1:10" ht="15" customHeight="1" x14ac:dyDescent="0.25">
      <c r="A8" s="17" t="s">
        <v>53</v>
      </c>
      <c r="B8" s="19">
        <f>SUMIF(Investment_Master!$D$5:$D$154,A8,Investment_Master!$J$5:$J$154)</f>
        <v>427770000</v>
      </c>
      <c r="C8" s="19">
        <f>SUMIF(Investment_Master!$D$5:$D$154,A8,Investment_Master!$M$5:$M$154)</f>
        <v>477581031.66341692</v>
      </c>
      <c r="D8" s="19">
        <f>SUMIF(Investment_Master!$D$5:$D$154,A8,Investment_Master!$O$5:$O$154)</f>
        <v>45805407.954530127</v>
      </c>
      <c r="E8" s="19">
        <f t="shared" si="0"/>
        <v>95616439.617947042</v>
      </c>
      <c r="F8" s="20">
        <f t="shared" si="1"/>
        <v>0.2235230138110364</v>
      </c>
      <c r="G8" s="19">
        <f>AVERAGEIF(Investment_Master!$D$5:$D$154,A8,Investment_Master!$W$5:$W$154)</f>
        <v>-1940787.1812019085</v>
      </c>
      <c r="H8" s="21">
        <f>AVERAGEIF(Investment_Master!$D$5:$D$154,A8,Investment_Master!$V$5:$V$154)</f>
        <v>4.0797209159442414</v>
      </c>
      <c r="I8" s="17">
        <f>IFERROR(AVERAGE(IF(Investment_Master!$D$5:$D$154=A8,IF(Investment_Master!$AA$5:$AA$154="Low",1,IF(Investment_Master!$AA$5:$AA$154="Medium",2,3)))),0)</f>
        <v>0</v>
      </c>
      <c r="J8" s="17">
        <f>COUNTIF(Investment_Master!$D$5:$D$154,A8)</f>
        <v>19</v>
      </c>
    </row>
    <row r="9" spans="1:10" ht="15" customHeight="1" x14ac:dyDescent="0.25">
      <c r="A9" s="17" t="s">
        <v>21</v>
      </c>
      <c r="B9" s="19">
        <f>SUMIF(Investment_Master!$D$5:$D$154,A9,Investment_Master!$J$5:$J$154)</f>
        <v>446040000</v>
      </c>
      <c r="C9" s="19">
        <f>SUMIF(Investment_Master!$D$5:$D$154,A9,Investment_Master!$M$5:$M$154)</f>
        <v>482552960.65795475</v>
      </c>
      <c r="D9" s="19">
        <f>SUMIF(Investment_Master!$D$5:$D$154,A9,Investment_Master!$O$5:$O$154)</f>
        <v>57791554.96745608</v>
      </c>
      <c r="E9" s="19">
        <f t="shared" si="0"/>
        <v>94304515.625410795</v>
      </c>
      <c r="F9" s="20">
        <f t="shared" si="1"/>
        <v>0.211426140313449</v>
      </c>
      <c r="G9" s="19">
        <f>AVERAGEIF(Investment_Master!$D$5:$D$154,A9,Investment_Master!$W$5:$W$154)</f>
        <v>-2353924.4033102323</v>
      </c>
      <c r="H9" s="21">
        <f>AVERAGEIF(Investment_Master!$D$5:$D$154,A9,Investment_Master!$V$5:$V$154)</f>
        <v>4.1102384956722533</v>
      </c>
      <c r="I9" s="17">
        <f>IFERROR(AVERAGE(IF(Investment_Master!$D$5:$D$154=A9,IF(Investment_Master!$AA$5:$AA$154="Low",1,IF(Investment_Master!$AA$5:$AA$154="Medium",2,3)))),0)</f>
        <v>0</v>
      </c>
      <c r="J9" s="17">
        <f>COUNTIF(Investment_Master!$D$5:$D$154,A9)</f>
        <v>19</v>
      </c>
    </row>
    <row r="10" spans="1:10" ht="15" customHeight="1" x14ac:dyDescent="0.25">
      <c r="A10" s="17" t="s">
        <v>42</v>
      </c>
      <c r="B10" s="19">
        <f>SUMIF(Investment_Master!$D$5:$D$154,A10,Investment_Master!$J$5:$J$154)</f>
        <v>781850000</v>
      </c>
      <c r="C10" s="19">
        <f>SUMIF(Investment_Master!$D$5:$D$154,A10,Investment_Master!$M$5:$M$154)</f>
        <v>765810659.70766938</v>
      </c>
      <c r="D10" s="19">
        <f>SUMIF(Investment_Master!$D$5:$D$154,A10,Investment_Master!$O$5:$O$154)</f>
        <v>104957333.91474138</v>
      </c>
      <c r="E10" s="19">
        <f t="shared" si="0"/>
        <v>88917993.622410774</v>
      </c>
      <c r="F10" s="20">
        <f t="shared" si="1"/>
        <v>0.11372768897155563</v>
      </c>
      <c r="G10" s="19">
        <f>AVERAGEIF(Investment_Master!$D$5:$D$154,A10,Investment_Master!$W$5:$W$154)</f>
        <v>-5497538.6686352743</v>
      </c>
      <c r="H10" s="21">
        <f>AVERAGEIF(Investment_Master!$D$5:$D$154,A10,Investment_Master!$V$5:$V$154)</f>
        <v>4.4828041991836516</v>
      </c>
      <c r="I10" s="17">
        <f>IFERROR(AVERAGE(IF(Investment_Master!$D$5:$D$154=A10,IF(Investment_Master!$AA$5:$AA$154="Low",1,IF(Investment_Master!$AA$5:$AA$154="Medium",2,3)))),0)</f>
        <v>0</v>
      </c>
      <c r="J10" s="17">
        <f>COUNTIF(Investment_Master!$D$5:$D$154,A10)</f>
        <v>19</v>
      </c>
    </row>
    <row r="11" spans="1:10" ht="15" customHeight="1" x14ac:dyDescent="0.25">
      <c r="A11" s="17" t="s">
        <v>57</v>
      </c>
      <c r="B11" s="19">
        <f>SUMIF(Investment_Master!$D$5:$D$154,A11,Investment_Master!$J$5:$J$154)</f>
        <v>133110000</v>
      </c>
      <c r="C11" s="19">
        <f>SUMIF(Investment_Master!$D$5:$D$154,A11,Investment_Master!$M$5:$M$154)</f>
        <v>115676101.96924625</v>
      </c>
      <c r="D11" s="19">
        <f>SUMIF(Investment_Master!$D$5:$D$154,A11,Investment_Master!$O$5:$O$154)</f>
        <v>15877014.252674785</v>
      </c>
      <c r="E11" s="19">
        <f t="shared" si="0"/>
        <v>-1556883.7780789584</v>
      </c>
      <c r="F11" s="20">
        <f t="shared" si="1"/>
        <v>-1.1696219503260148E-2</v>
      </c>
      <c r="G11" s="19">
        <f>AVERAGEIF(Investment_Master!$D$5:$D$154,A11,Investment_Master!$W$5:$W$154)</f>
        <v>-1954289.068473337</v>
      </c>
      <c r="H11" s="21">
        <f>AVERAGEIF(Investment_Master!$D$5:$D$154,A11,Investment_Master!$V$5:$V$154)</f>
        <v>5.109097810739911</v>
      </c>
      <c r="I11" s="17">
        <f>IFERROR(AVERAGE(IF(Investment_Master!$D$5:$D$154=A11,IF(Investment_Master!$AA$5:$AA$154="Low",1,IF(Investment_Master!$AA$5:$AA$154="Medium",2,3)))),0)</f>
        <v>1</v>
      </c>
      <c r="J11" s="17">
        <f>COUNTIF(Investment_Master!$D$5:$D$154,A11)</f>
        <v>18</v>
      </c>
    </row>
    <row r="12" spans="1:10" ht="15" customHeight="1" x14ac:dyDescent="0.25">
      <c r="A12" s="17" t="s">
        <v>28</v>
      </c>
      <c r="B12" s="19">
        <f>SUMIF(Investment_Master!$D$5:$D$154,A12,Investment_Master!$J$5:$J$154)</f>
        <v>265060000</v>
      </c>
      <c r="C12" s="19">
        <f>SUMIF(Investment_Master!$D$5:$D$154,A12,Investment_Master!$M$5:$M$154)</f>
        <v>276815304.27082115</v>
      </c>
      <c r="D12" s="19">
        <f>SUMIF(Investment_Master!$D$5:$D$154,A12,Investment_Master!$O$5:$O$154)</f>
        <v>35636029.905034423</v>
      </c>
      <c r="E12" s="19">
        <f t="shared" si="0"/>
        <v>47391334.175855577</v>
      </c>
      <c r="F12" s="20">
        <f t="shared" si="1"/>
        <v>0.17879474147685648</v>
      </c>
      <c r="G12" s="19">
        <f>AVERAGEIF(Investment_Master!$D$5:$D$154,A12,Investment_Master!$W$5:$W$154)</f>
        <v>-1736240.2442001237</v>
      </c>
      <c r="H12" s="21">
        <f>AVERAGEIF(Investment_Master!$D$5:$D$154,A12,Investment_Master!$V$5:$V$154)</f>
        <v>4.2621845355367469</v>
      </c>
      <c r="I12" s="17">
        <f>IFERROR(AVERAGE(IF(Investment_Master!$D$5:$D$154=A12,IF(Investment_Master!$AA$5:$AA$154="Low",1,IF(Investment_Master!$AA$5:$AA$154="Medium",2,3)))),0)</f>
        <v>0</v>
      </c>
      <c r="J12" s="17">
        <f>COUNTIF(Investment_Master!$D$5:$D$154,A12)</f>
        <v>19</v>
      </c>
    </row>
    <row r="15" spans="1:10" ht="17.25" customHeight="1" x14ac:dyDescent="0.25">
      <c r="A15" s="23" t="s">
        <v>294</v>
      </c>
    </row>
    <row r="16" spans="1:10" ht="15" customHeight="1" x14ac:dyDescent="0.25">
      <c r="A16" s="16" t="s">
        <v>257</v>
      </c>
      <c r="B16" s="16" t="s">
        <v>258</v>
      </c>
      <c r="C16" s="16" t="s">
        <v>295</v>
      </c>
      <c r="D16" s="16" t="s">
        <v>296</v>
      </c>
      <c r="E16" s="16" t="s">
        <v>288</v>
      </c>
      <c r="F16" s="16" t="s">
        <v>289</v>
      </c>
      <c r="G16" s="16" t="s">
        <v>290</v>
      </c>
      <c r="H16" s="16" t="s">
        <v>291</v>
      </c>
      <c r="I16" s="16" t="s">
        <v>297</v>
      </c>
    </row>
    <row r="17" spans="1:9" ht="15" customHeight="1" x14ac:dyDescent="0.25">
      <c r="A17" s="17" t="s">
        <v>20</v>
      </c>
      <c r="B17" s="19">
        <f>SUMIF(Investment_Master!$C$5:$C$154,A17,Investment_Master!$J$5:$J$154)</f>
        <v>446040000</v>
      </c>
      <c r="C17" s="19">
        <f>SUMIF(Investment_Master!$C$5:$C$154,A17,Investment_Master!$M$5:$M$154)</f>
        <v>482552960.65795475</v>
      </c>
      <c r="D17" s="19">
        <f>SUMIF(Investment_Master!$C$5:$C$154,A17,Investment_Master!$O$5:$O$154)</f>
        <v>57791554.96745608</v>
      </c>
      <c r="E17" s="19">
        <f t="shared" ref="E17:E24" si="2">C17+D17-B17</f>
        <v>94304515.625410795</v>
      </c>
      <c r="F17" s="20">
        <f t="shared" ref="F17:F24" si="3">IFERROR(E17/B17,0)</f>
        <v>0.211426140313449</v>
      </c>
      <c r="G17" s="19">
        <f>AVERAGEIF(Investment_Master!$C$5:$C$154,A17,Investment_Master!$W$5:$W$154)</f>
        <v>-2353924.4033102323</v>
      </c>
      <c r="H17" s="21">
        <f>AVERAGEIF(Investment_Master!$C$5:$C$154,A17,Investment_Master!$V$5:$V$154)</f>
        <v>4.1102384956722533</v>
      </c>
      <c r="I17" s="22">
        <f>AVERAGEIF(Investment_Master!$C$5:$C$154,A17,Investment_Master!$AG$5:$AG$154)</f>
        <v>61.561268622107768</v>
      </c>
    </row>
    <row r="18" spans="1:9" ht="15" customHeight="1" x14ac:dyDescent="0.25">
      <c r="A18" s="17" t="s">
        <v>27</v>
      </c>
      <c r="B18" s="19">
        <f>SUMIF(Investment_Master!$C$5:$C$154,A18,Investment_Master!$J$5:$J$154)</f>
        <v>265060000</v>
      </c>
      <c r="C18" s="19">
        <f>SUMIF(Investment_Master!$C$5:$C$154,A18,Investment_Master!$M$5:$M$154)</f>
        <v>276815304.27082115</v>
      </c>
      <c r="D18" s="19">
        <f>SUMIF(Investment_Master!$C$5:$C$154,A18,Investment_Master!$O$5:$O$154)</f>
        <v>35636029.905034423</v>
      </c>
      <c r="E18" s="19">
        <f t="shared" si="2"/>
        <v>47391334.175855577</v>
      </c>
      <c r="F18" s="20">
        <f t="shared" si="3"/>
        <v>0.17879474147685648</v>
      </c>
      <c r="G18" s="19">
        <f>AVERAGEIF(Investment_Master!$C$5:$C$154,A18,Investment_Master!$W$5:$W$154)</f>
        <v>-1736240.2442001237</v>
      </c>
      <c r="H18" s="21">
        <f>AVERAGEIF(Investment_Master!$C$5:$C$154,A18,Investment_Master!$V$5:$V$154)</f>
        <v>4.2621845355367469</v>
      </c>
      <c r="I18" s="22">
        <f>AVERAGEIF(Investment_Master!$C$5:$C$154,A18,Investment_Master!$AG$5:$AG$154)</f>
        <v>56.066755389130563</v>
      </c>
    </row>
    <row r="19" spans="1:9" ht="15" customHeight="1" x14ac:dyDescent="0.25">
      <c r="A19" s="17" t="s">
        <v>34</v>
      </c>
      <c r="B19" s="19">
        <f>SUMIF(Investment_Master!$C$5:$C$154,A19,Investment_Master!$J$5:$J$154)</f>
        <v>535570000</v>
      </c>
      <c r="C19" s="19">
        <f>SUMIF(Investment_Master!$C$5:$C$154,A19,Investment_Master!$M$5:$M$154)</f>
        <v>510990757.05007648</v>
      </c>
      <c r="D19" s="19">
        <f>SUMIF(Investment_Master!$C$5:$C$154,A19,Investment_Master!$O$5:$O$154)</f>
        <v>61869835.304721802</v>
      </c>
      <c r="E19" s="19">
        <f t="shared" si="2"/>
        <v>37290592.354798317</v>
      </c>
      <c r="F19" s="20">
        <f t="shared" si="3"/>
        <v>6.9627858832269018E-2</v>
      </c>
      <c r="G19" s="19">
        <f>AVERAGEIF(Investment_Master!$C$5:$C$154,A19,Investment_Master!$W$5:$W$154)</f>
        <v>-5716968.7686398206</v>
      </c>
      <c r="H19" s="21">
        <f>AVERAGEIF(Investment_Master!$C$5:$C$154,A19,Investment_Master!$V$5:$V$154)</f>
        <v>4.694780050566921</v>
      </c>
      <c r="I19" s="22">
        <f>AVERAGEIF(Investment_Master!$C$5:$C$154,A19,Investment_Master!$AG$5:$AG$154)</f>
        <v>45.097889633204232</v>
      </c>
    </row>
    <row r="20" spans="1:9" ht="15" customHeight="1" x14ac:dyDescent="0.25">
      <c r="A20" s="17" t="s">
        <v>41</v>
      </c>
      <c r="B20" s="19">
        <f>SUMIF(Investment_Master!$C$5:$C$154,A20,Investment_Master!$J$5:$J$154)</f>
        <v>781850000</v>
      </c>
      <c r="C20" s="19">
        <f>SUMIF(Investment_Master!$C$5:$C$154,A20,Investment_Master!$M$5:$M$154)</f>
        <v>765810659.70766938</v>
      </c>
      <c r="D20" s="19">
        <f>SUMIF(Investment_Master!$C$5:$C$154,A20,Investment_Master!$O$5:$O$154)</f>
        <v>104957333.91474138</v>
      </c>
      <c r="E20" s="19">
        <f t="shared" si="2"/>
        <v>88917993.622410774</v>
      </c>
      <c r="F20" s="20">
        <f t="shared" si="3"/>
        <v>0.11372768897155563</v>
      </c>
      <c r="G20" s="19">
        <f>AVERAGEIF(Investment_Master!$C$5:$C$154,A20,Investment_Master!$W$5:$W$154)</f>
        <v>-5497538.6686352743</v>
      </c>
      <c r="H20" s="21">
        <f>AVERAGEIF(Investment_Master!$C$5:$C$154,A20,Investment_Master!$V$5:$V$154)</f>
        <v>4.4828041991836516</v>
      </c>
      <c r="I20" s="22">
        <f>AVERAGEIF(Investment_Master!$C$5:$C$154,A20,Investment_Master!$AG$5:$AG$154)</f>
        <v>55.455009107438961</v>
      </c>
    </row>
    <row r="21" spans="1:9" ht="15" customHeight="1" x14ac:dyDescent="0.25">
      <c r="A21" s="17" t="s">
        <v>47</v>
      </c>
      <c r="B21" s="19">
        <f>SUMIF(Investment_Master!$C$5:$C$154,A21,Investment_Master!$J$5:$J$154)</f>
        <v>504680000</v>
      </c>
      <c r="C21" s="19">
        <f>SUMIF(Investment_Master!$C$5:$C$154,A21,Investment_Master!$M$5:$M$154)</f>
        <v>519900476.95712882</v>
      </c>
      <c r="D21" s="19">
        <f>SUMIF(Investment_Master!$C$5:$C$154,A21,Investment_Master!$O$5:$O$154)</f>
        <v>60894507.355422184</v>
      </c>
      <c r="E21" s="19">
        <f t="shared" si="2"/>
        <v>76114984.312551022</v>
      </c>
      <c r="F21" s="20">
        <f t="shared" si="3"/>
        <v>0.1508183092505172</v>
      </c>
      <c r="G21" s="19">
        <f>AVERAGEIF(Investment_Master!$C$5:$C$154,A21,Investment_Master!$W$5:$W$154)</f>
        <v>-3869214.5300315171</v>
      </c>
      <c r="H21" s="21">
        <f>AVERAGEIF(Investment_Master!$C$5:$C$154,A21,Investment_Master!$V$5:$V$154)</f>
        <v>4.3511502234497357</v>
      </c>
      <c r="I21" s="22">
        <f>AVERAGEIF(Investment_Master!$C$5:$C$154,A21,Investment_Master!$AG$5:$AG$154)</f>
        <v>58.925461402264787</v>
      </c>
    </row>
    <row r="22" spans="1:9" ht="15" customHeight="1" x14ac:dyDescent="0.25">
      <c r="A22" s="17" t="s">
        <v>52</v>
      </c>
      <c r="B22" s="19">
        <f>SUMIF(Investment_Master!$C$5:$C$154,A22,Investment_Master!$J$5:$J$154)</f>
        <v>427770000</v>
      </c>
      <c r="C22" s="19">
        <f>SUMIF(Investment_Master!$C$5:$C$154,A22,Investment_Master!$M$5:$M$154)</f>
        <v>477581031.66341692</v>
      </c>
      <c r="D22" s="19">
        <f>SUMIF(Investment_Master!$C$5:$C$154,A22,Investment_Master!$O$5:$O$154)</f>
        <v>45805407.954530127</v>
      </c>
      <c r="E22" s="19">
        <f t="shared" si="2"/>
        <v>95616439.617947042</v>
      </c>
      <c r="F22" s="20">
        <f t="shared" si="3"/>
        <v>0.2235230138110364</v>
      </c>
      <c r="G22" s="19">
        <f>AVERAGEIF(Investment_Master!$C$5:$C$154,A22,Investment_Master!$W$5:$W$154)</f>
        <v>-1940787.1812019085</v>
      </c>
      <c r="H22" s="21">
        <f>AVERAGEIF(Investment_Master!$C$5:$C$154,A22,Investment_Master!$V$5:$V$154)</f>
        <v>4.0797209159442414</v>
      </c>
      <c r="I22" s="22">
        <f>AVERAGEIF(Investment_Master!$C$5:$C$154,A22,Investment_Master!$AG$5:$AG$154)</f>
        <v>57.962234865961051</v>
      </c>
    </row>
    <row r="23" spans="1:9" ht="15" customHeight="1" x14ac:dyDescent="0.25">
      <c r="A23" s="17" t="s">
        <v>56</v>
      </c>
      <c r="B23" s="19">
        <f>SUMIF(Investment_Master!$C$5:$C$154,A23,Investment_Master!$J$5:$J$154)</f>
        <v>133110000</v>
      </c>
      <c r="C23" s="19">
        <f>SUMIF(Investment_Master!$C$5:$C$154,A23,Investment_Master!$M$5:$M$154)</f>
        <v>115676101.96924625</v>
      </c>
      <c r="D23" s="19">
        <f>SUMIF(Investment_Master!$C$5:$C$154,A23,Investment_Master!$O$5:$O$154)</f>
        <v>15877014.252674785</v>
      </c>
      <c r="E23" s="19">
        <f t="shared" si="2"/>
        <v>-1556883.7780789584</v>
      </c>
      <c r="F23" s="20">
        <f t="shared" si="3"/>
        <v>-1.1696219503260148E-2</v>
      </c>
      <c r="G23" s="19">
        <f>AVERAGEIF(Investment_Master!$C$5:$C$154,A23,Investment_Master!$W$5:$W$154)</f>
        <v>-1954289.068473337</v>
      </c>
      <c r="H23" s="21">
        <f>AVERAGEIF(Investment_Master!$C$5:$C$154,A23,Investment_Master!$V$5:$V$154)</f>
        <v>5.109097810739911</v>
      </c>
      <c r="I23" s="22">
        <f>AVERAGEIF(Investment_Master!$C$5:$C$154,A23,Investment_Master!$AG$5:$AG$154)</f>
        <v>45.114411743107887</v>
      </c>
    </row>
    <row r="24" spans="1:9" ht="15" customHeight="1" x14ac:dyDescent="0.25">
      <c r="A24" s="17" t="s">
        <v>60</v>
      </c>
      <c r="B24" s="19">
        <f>SUMIF(Investment_Master!$C$5:$C$154,A24,Investment_Master!$J$5:$J$154)</f>
        <v>692480000</v>
      </c>
      <c r="C24" s="19">
        <f>SUMIF(Investment_Master!$C$5:$C$154,A24,Investment_Master!$M$5:$M$154)</f>
        <v>662628940.94506729</v>
      </c>
      <c r="D24" s="19">
        <f>SUMIF(Investment_Master!$C$5:$C$154,A24,Investment_Master!$O$5:$O$154)</f>
        <v>94809760.096772462</v>
      </c>
      <c r="E24" s="19">
        <f t="shared" si="2"/>
        <v>64958701.041839719</v>
      </c>
      <c r="F24" s="20">
        <f t="shared" si="3"/>
        <v>9.3805887595078158E-2</v>
      </c>
      <c r="G24" s="19">
        <f>AVERAGEIF(Investment_Master!$C$5:$C$154,A24,Investment_Master!$W$5:$W$154)</f>
        <v>-7283725.6725137876</v>
      </c>
      <c r="H24" s="21">
        <f>AVERAGEIF(Investment_Master!$C$5:$C$154,A24,Investment_Master!$V$5:$V$154)</f>
        <v>4.6041176966047681</v>
      </c>
      <c r="I24" s="22">
        <f>AVERAGEIF(Investment_Master!$C$5:$C$154,A24,Investment_Master!$AG$5:$AG$154)</f>
        <v>56.416320973828434</v>
      </c>
    </row>
  </sheetData>
  <mergeCells count="2">
    <mergeCell ref="A1:H1"/>
    <mergeCell ref="A2:H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4"/>
  <sheetViews>
    <sheetView zoomScale="90" zoomScaleNormal="90" workbookViewId="0">
      <pane ySplit="4" topLeftCell="A5" activePane="bottomLeft" state="frozen"/>
      <selection pane="bottomLeft" sqref="A1:H1"/>
    </sheetView>
  </sheetViews>
  <sheetFormatPr defaultColWidth="8.7109375" defaultRowHeight="15" customHeight="1" x14ac:dyDescent="0.25"/>
  <cols>
    <col min="1" max="1" width="14" style="15" customWidth="1"/>
    <col min="2" max="2" width="34" style="15" customWidth="1"/>
    <col min="3" max="5" width="12" style="15" customWidth="1"/>
    <col min="6" max="7" width="18" style="15" customWidth="1"/>
    <col min="8" max="8" width="32" style="15" customWidth="1"/>
    <col min="9" max="9" width="18" style="15" customWidth="1"/>
  </cols>
  <sheetData>
    <row r="1" spans="1:9" ht="30" customHeight="1" x14ac:dyDescent="0.25">
      <c r="A1" s="14" t="s">
        <v>298</v>
      </c>
      <c r="B1" s="14"/>
      <c r="C1" s="14"/>
      <c r="D1" s="14"/>
      <c r="E1" s="14"/>
      <c r="F1" s="14"/>
      <c r="G1" s="14"/>
      <c r="H1" s="14"/>
    </row>
    <row r="2" spans="1:9" ht="19.5" customHeight="1" x14ac:dyDescent="0.25">
      <c r="A2" s="13" t="s">
        <v>299</v>
      </c>
      <c r="B2" s="13"/>
      <c r="C2" s="13"/>
      <c r="D2" s="13"/>
      <c r="E2" s="13"/>
      <c r="F2" s="13"/>
      <c r="G2" s="13"/>
      <c r="H2" s="13"/>
    </row>
    <row r="4" spans="1:9" ht="27.75" customHeight="1" x14ac:dyDescent="0.25">
      <c r="A4" s="16" t="s">
        <v>2</v>
      </c>
      <c r="B4" s="16" t="s">
        <v>3</v>
      </c>
      <c r="C4" s="16" t="s">
        <v>17</v>
      </c>
      <c r="D4" s="16" t="s">
        <v>300</v>
      </c>
      <c r="E4" s="16" t="s">
        <v>259</v>
      </c>
      <c r="F4" s="16" t="s">
        <v>301</v>
      </c>
      <c r="G4" s="16" t="s">
        <v>258</v>
      </c>
      <c r="H4" s="16" t="s">
        <v>302</v>
      </c>
      <c r="I4" s="16" t="s">
        <v>263</v>
      </c>
    </row>
    <row r="5" spans="1:9" ht="15" customHeight="1" x14ac:dyDescent="0.25">
      <c r="A5" s="17" t="str">
        <f>Investment_Master!A5</f>
        <v>INV-001</v>
      </c>
      <c r="B5" s="17" t="str">
        <f>Investment_Master!B5</f>
        <v>ERP Cloud Migration – Central</v>
      </c>
      <c r="C5" s="17" t="str">
        <f>Investment_Master!AA5</f>
        <v>Low</v>
      </c>
      <c r="D5" s="17">
        <f t="shared" ref="D5:D36" si="0">IF(C5="Low",1,IF(C5="Medium",2,3))</f>
        <v>1</v>
      </c>
      <c r="E5" s="20">
        <f>Investment_Master!S5</f>
        <v>0.26630301447107113</v>
      </c>
      <c r="F5" s="19">
        <f>Investment_Master!Q5</f>
        <v>45903484.274576329</v>
      </c>
      <c r="G5" s="19">
        <f>Investment_Master!J5</f>
        <v>36250000</v>
      </c>
      <c r="H5" s="17" t="str">
        <f t="shared" ref="H5:H36" si="1">IF(AND(E5&gt;=AVERAGE($E$5:$E$154),D5&lt;=2),"High Return + Low/Medium Risk",IF(AND(E5&gt;=AVERAGE($E$5:$E$154),D5&gt;2),"High Return + High Risk",IF(D5&lt;=2,"Low Return + Low Risk","Low Return + High Risk")))</f>
        <v>High Return + Low/Medium Risk</v>
      </c>
      <c r="I5" s="17" t="str">
        <f>Investment_Master!AB5</f>
        <v>Watch</v>
      </c>
    </row>
    <row r="6" spans="1:9" ht="15" customHeight="1" x14ac:dyDescent="0.25">
      <c r="A6" s="17" t="str">
        <f>Investment_Master!A6</f>
        <v>INV-002</v>
      </c>
      <c r="B6" s="17" t="str">
        <f>Investment_Master!B6</f>
        <v>Brand Repositioning – South</v>
      </c>
      <c r="C6" s="17" t="str">
        <f>Investment_Master!AA6</f>
        <v>High</v>
      </c>
      <c r="D6" s="17">
        <f t="shared" si="0"/>
        <v>3</v>
      </c>
      <c r="E6" s="20">
        <f>Investment_Master!S6</f>
        <v>0.17740180510776535</v>
      </c>
      <c r="F6" s="19">
        <f>Investment_Master!Q6</f>
        <v>9442762.4769642781</v>
      </c>
      <c r="G6" s="19">
        <f>Investment_Master!J6</f>
        <v>8020000</v>
      </c>
      <c r="H6" s="17" t="str">
        <f t="shared" si="1"/>
        <v>High Return + High Risk</v>
      </c>
      <c r="I6" s="17" t="str">
        <f>Investment_Master!AB6</f>
        <v>Watch</v>
      </c>
    </row>
    <row r="7" spans="1:9" ht="15" customHeight="1" x14ac:dyDescent="0.25">
      <c r="A7" s="17" t="str">
        <f>Investment_Master!A7</f>
        <v>INV-003</v>
      </c>
      <c r="B7" s="17" t="str">
        <f>Investment_Master!B7</f>
        <v>Premium Product Line – West</v>
      </c>
      <c r="C7" s="17" t="str">
        <f>Investment_Master!AA7</f>
        <v>Medium</v>
      </c>
      <c r="D7" s="17">
        <f t="shared" si="0"/>
        <v>2</v>
      </c>
      <c r="E7" s="20">
        <f>Investment_Master!S7</f>
        <v>0.1980882142976895</v>
      </c>
      <c r="F7" s="19">
        <f>Investment_Master!Q7</f>
        <v>42580055.136139885</v>
      </c>
      <c r="G7" s="19">
        <f>Investment_Master!J7</f>
        <v>35540000</v>
      </c>
      <c r="H7" s="17" t="str">
        <f t="shared" si="1"/>
        <v>High Return + Low/Medium Risk</v>
      </c>
      <c r="I7" s="17" t="str">
        <f>Investment_Master!AB7</f>
        <v>Watch</v>
      </c>
    </row>
    <row r="8" spans="1:9" ht="15" customHeight="1" x14ac:dyDescent="0.25">
      <c r="A8" s="17" t="str">
        <f>Investment_Master!A8</f>
        <v>INV-004</v>
      </c>
      <c r="B8" s="17" t="str">
        <f>Investment_Master!B8</f>
        <v>Tier-2 City Expansion – North</v>
      </c>
      <c r="C8" s="17" t="str">
        <f>Investment_Master!AA8</f>
        <v>Low</v>
      </c>
      <c r="D8" s="17">
        <f t="shared" si="0"/>
        <v>1</v>
      </c>
      <c r="E8" s="20">
        <f>Investment_Master!S8</f>
        <v>0.20683139231252451</v>
      </c>
      <c r="F8" s="19">
        <f>Investment_Master!Q8</f>
        <v>27865736.848496191</v>
      </c>
      <c r="G8" s="19">
        <f>Investment_Master!J8</f>
        <v>23090000</v>
      </c>
      <c r="H8" s="17" t="str">
        <f t="shared" si="1"/>
        <v>High Return + Low/Medium Risk</v>
      </c>
      <c r="I8" s="17" t="str">
        <f>Investment_Master!AB8</f>
        <v>Watch</v>
      </c>
    </row>
    <row r="9" spans="1:9" ht="15" customHeight="1" x14ac:dyDescent="0.25">
      <c r="A9" s="17" t="str">
        <f>Investment_Master!A9</f>
        <v>INV-005</v>
      </c>
      <c r="B9" s="17" t="str">
        <f>Investment_Master!B9</f>
        <v>Automated Packaging Line – East</v>
      </c>
      <c r="C9" s="17" t="str">
        <f>Investment_Master!AA9</f>
        <v>High</v>
      </c>
      <c r="D9" s="17">
        <f t="shared" si="0"/>
        <v>3</v>
      </c>
      <c r="E9" s="20">
        <f>Investment_Master!S9</f>
        <v>0.17518158170548837</v>
      </c>
      <c r="F9" s="19">
        <f>Investment_Master!Q9</f>
        <v>36771431.691564731</v>
      </c>
      <c r="G9" s="19">
        <f>Investment_Master!J9</f>
        <v>31290000</v>
      </c>
      <c r="H9" s="17" t="str">
        <f t="shared" si="1"/>
        <v>High Return + High Risk</v>
      </c>
      <c r="I9" s="17" t="str">
        <f>Investment_Master!AB9</f>
        <v>Watch</v>
      </c>
    </row>
    <row r="10" spans="1:9" ht="15" customHeight="1" x14ac:dyDescent="0.25">
      <c r="A10" s="17" t="str">
        <f>Investment_Master!A10</f>
        <v>INV-006</v>
      </c>
      <c r="B10" s="17" t="str">
        <f>Investment_Master!B10</f>
        <v>RPA Finance Rollout – Central</v>
      </c>
      <c r="C10" s="17" t="str">
        <f>Investment_Master!AA10</f>
        <v>Medium</v>
      </c>
      <c r="D10" s="17">
        <f t="shared" si="0"/>
        <v>2</v>
      </c>
      <c r="E10" s="20">
        <f>Investment_Master!S10</f>
        <v>0.24912920747129533</v>
      </c>
      <c r="F10" s="19">
        <f>Investment_Master!Q10</f>
        <v>23608542.021207482</v>
      </c>
      <c r="G10" s="19">
        <f>Investment_Master!J10</f>
        <v>18900000</v>
      </c>
      <c r="H10" s="17" t="str">
        <f t="shared" si="1"/>
        <v>High Return + Low/Medium Risk</v>
      </c>
      <c r="I10" s="17" t="str">
        <f>Investment_Master!AB10</f>
        <v>Watch</v>
      </c>
    </row>
    <row r="11" spans="1:9" ht="15" customHeight="1" x14ac:dyDescent="0.25">
      <c r="A11" s="17" t="str">
        <f>Investment_Master!A11</f>
        <v>INV-007</v>
      </c>
      <c r="B11" s="17" t="str">
        <f>Investment_Master!B11</f>
        <v>Leadership Development – South</v>
      </c>
      <c r="C11" s="17" t="str">
        <f>Investment_Master!AA11</f>
        <v>Low</v>
      </c>
      <c r="D11" s="17">
        <f t="shared" si="0"/>
        <v>1</v>
      </c>
      <c r="E11" s="20">
        <f>Investment_Master!S11</f>
        <v>2.8790874699689589E-3</v>
      </c>
      <c r="F11" s="19">
        <f>Investment_Master!Q11</f>
        <v>13268090.327227689</v>
      </c>
      <c r="G11" s="19">
        <f>Investment_Master!J11</f>
        <v>13230000</v>
      </c>
      <c r="H11" s="17" t="str">
        <f t="shared" si="1"/>
        <v>Low Return + Low Risk</v>
      </c>
      <c r="I11" s="17" t="str">
        <f>Investment_Master!AB11</f>
        <v>Underperforming</v>
      </c>
    </row>
    <row r="12" spans="1:9" ht="15" customHeight="1" x14ac:dyDescent="0.25">
      <c r="A12" s="17" t="str">
        <f>Investment_Master!A12</f>
        <v>INV-008</v>
      </c>
      <c r="B12" s="17" t="str">
        <f>Investment_Master!B12</f>
        <v>Plant Utility Upgrade – West</v>
      </c>
      <c r="C12" s="17" t="str">
        <f>Investment_Master!AA12</f>
        <v>High</v>
      </c>
      <c r="D12" s="17">
        <f t="shared" si="0"/>
        <v>3</v>
      </c>
      <c r="E12" s="20">
        <f>Investment_Master!S12</f>
        <v>0.11455006871241527</v>
      </c>
      <c r="F12" s="19">
        <f>Investment_Master!Q12</f>
        <v>19638372.210712757</v>
      </c>
      <c r="G12" s="19">
        <f>Investment_Master!J12</f>
        <v>17620000</v>
      </c>
      <c r="H12" s="17" t="str">
        <f t="shared" si="1"/>
        <v>Low Return + High Risk</v>
      </c>
      <c r="I12" s="17" t="str">
        <f>Investment_Master!AB12</f>
        <v>Watch</v>
      </c>
    </row>
    <row r="13" spans="1:9" ht="15" customHeight="1" x14ac:dyDescent="0.25">
      <c r="A13" s="17" t="str">
        <f>Investment_Master!A13</f>
        <v>INV-009</v>
      </c>
      <c r="B13" s="17" t="str">
        <f>Investment_Master!B13</f>
        <v>ERP Cloud Migration – North</v>
      </c>
      <c r="C13" s="17" t="str">
        <f>Investment_Master!AA13</f>
        <v>Medium</v>
      </c>
      <c r="D13" s="17">
        <f t="shared" si="0"/>
        <v>2</v>
      </c>
      <c r="E13" s="20">
        <f>Investment_Master!S13</f>
        <v>0.30053204630780894</v>
      </c>
      <c r="F13" s="19">
        <f>Investment_Master!Q13</f>
        <v>27103087.845054738</v>
      </c>
      <c r="G13" s="19">
        <f>Investment_Master!J13</f>
        <v>20840000</v>
      </c>
      <c r="H13" s="17" t="str">
        <f t="shared" si="1"/>
        <v>High Return + Low/Medium Risk</v>
      </c>
      <c r="I13" s="17" t="str">
        <f>Investment_Master!AB13</f>
        <v>Good</v>
      </c>
    </row>
    <row r="14" spans="1:9" ht="15" customHeight="1" x14ac:dyDescent="0.25">
      <c r="A14" s="17" t="str">
        <f>Investment_Master!A14</f>
        <v>INV-010</v>
      </c>
      <c r="B14" s="17" t="str">
        <f>Investment_Master!B14</f>
        <v>Brand Repositioning – East</v>
      </c>
      <c r="C14" s="17" t="str">
        <f>Investment_Master!AA14</f>
        <v>Low</v>
      </c>
      <c r="D14" s="17">
        <f t="shared" si="0"/>
        <v>1</v>
      </c>
      <c r="E14" s="20">
        <f>Investment_Master!S14</f>
        <v>0.23539867195576236</v>
      </c>
      <c r="F14" s="19">
        <f>Investment_Master!Q14</f>
        <v>11748641.3702993</v>
      </c>
      <c r="G14" s="19">
        <f>Investment_Master!J14</f>
        <v>9510000</v>
      </c>
      <c r="H14" s="17" t="str">
        <f t="shared" si="1"/>
        <v>High Return + Low/Medium Risk</v>
      </c>
      <c r="I14" s="17" t="str">
        <f>Investment_Master!AB14</f>
        <v>Watch</v>
      </c>
    </row>
    <row r="15" spans="1:9" ht="15" customHeight="1" x14ac:dyDescent="0.25">
      <c r="A15" s="17" t="str">
        <f>Investment_Master!A15</f>
        <v>INV-011</v>
      </c>
      <c r="B15" s="17" t="str">
        <f>Investment_Master!B15</f>
        <v>Premium Product Line – Central</v>
      </c>
      <c r="C15" s="17" t="str">
        <f>Investment_Master!AA15</f>
        <v>High</v>
      </c>
      <c r="D15" s="17">
        <f t="shared" si="0"/>
        <v>3</v>
      </c>
      <c r="E15" s="20">
        <f>Investment_Master!S15</f>
        <v>6.2876581688889252E-2</v>
      </c>
      <c r="F15" s="19">
        <f>Investment_Master!Q15</f>
        <v>25540924.257984009</v>
      </c>
      <c r="G15" s="19">
        <f>Investment_Master!J15</f>
        <v>24030000</v>
      </c>
      <c r="H15" s="17" t="str">
        <f t="shared" si="1"/>
        <v>Low Return + High Risk</v>
      </c>
      <c r="I15" s="17" t="str">
        <f>Investment_Master!AB15</f>
        <v>Underperforming</v>
      </c>
    </row>
    <row r="16" spans="1:9" ht="15" customHeight="1" x14ac:dyDescent="0.25">
      <c r="A16" s="17" t="str">
        <f>Investment_Master!A16</f>
        <v>INV-012</v>
      </c>
      <c r="B16" s="17" t="str">
        <f>Investment_Master!B16</f>
        <v>Tier-2 City Expansion – South</v>
      </c>
      <c r="C16" s="17" t="str">
        <f>Investment_Master!AA16</f>
        <v>Medium</v>
      </c>
      <c r="D16" s="17">
        <f t="shared" si="0"/>
        <v>2</v>
      </c>
      <c r="E16" s="20">
        <f>Investment_Master!S16</f>
        <v>0.17726458391662378</v>
      </c>
      <c r="F16" s="19">
        <f>Investment_Master!Q16</f>
        <v>35047166.66319789</v>
      </c>
      <c r="G16" s="19">
        <f>Investment_Master!J16</f>
        <v>29770000</v>
      </c>
      <c r="H16" s="17" t="str">
        <f t="shared" si="1"/>
        <v>High Return + Low/Medium Risk</v>
      </c>
      <c r="I16" s="17" t="str">
        <f>Investment_Master!AB16</f>
        <v>Watch</v>
      </c>
    </row>
    <row r="17" spans="1:9" ht="15" customHeight="1" x14ac:dyDescent="0.25">
      <c r="A17" s="17" t="str">
        <f>Investment_Master!A17</f>
        <v>INV-013</v>
      </c>
      <c r="B17" s="17" t="str">
        <f>Investment_Master!B17</f>
        <v>Automated Packaging Line – West</v>
      </c>
      <c r="C17" s="17" t="str">
        <f>Investment_Master!AA17</f>
        <v>Low</v>
      </c>
      <c r="D17" s="17">
        <f t="shared" si="0"/>
        <v>1</v>
      </c>
      <c r="E17" s="20">
        <f>Investment_Master!S17</f>
        <v>0.10400934300911467</v>
      </c>
      <c r="F17" s="19">
        <f>Investment_Master!Q17</f>
        <v>12033701.83879935</v>
      </c>
      <c r="G17" s="19">
        <f>Investment_Master!J17</f>
        <v>10900000</v>
      </c>
      <c r="H17" s="17" t="str">
        <f t="shared" si="1"/>
        <v>Low Return + Low Risk</v>
      </c>
      <c r="I17" s="17" t="str">
        <f>Investment_Master!AB17</f>
        <v>Watch</v>
      </c>
    </row>
    <row r="18" spans="1:9" ht="15" customHeight="1" x14ac:dyDescent="0.25">
      <c r="A18" s="17" t="str">
        <f>Investment_Master!A18</f>
        <v>INV-014</v>
      </c>
      <c r="B18" s="17" t="str">
        <f>Investment_Master!B18</f>
        <v>RPA Finance Rollout – North</v>
      </c>
      <c r="C18" s="17" t="str">
        <f>Investment_Master!AA18</f>
        <v>High</v>
      </c>
      <c r="D18" s="17">
        <f t="shared" si="0"/>
        <v>3</v>
      </c>
      <c r="E18" s="20">
        <f>Investment_Master!S18</f>
        <v>0.29833699302144528</v>
      </c>
      <c r="F18" s="19">
        <f>Investment_Master!Q18</f>
        <v>23357082.504455801</v>
      </c>
      <c r="G18" s="19">
        <f>Investment_Master!J18</f>
        <v>17990000</v>
      </c>
      <c r="H18" s="17" t="str">
        <f t="shared" si="1"/>
        <v>High Return + High Risk</v>
      </c>
      <c r="I18" s="17" t="str">
        <f>Investment_Master!AB18</f>
        <v>Watch</v>
      </c>
    </row>
    <row r="19" spans="1:9" ht="15" customHeight="1" x14ac:dyDescent="0.25">
      <c r="A19" s="17" t="str">
        <f>Investment_Master!A19</f>
        <v>INV-015</v>
      </c>
      <c r="B19" s="17" t="str">
        <f>Investment_Master!B19</f>
        <v>Leadership Development – East</v>
      </c>
      <c r="C19" s="17" t="str">
        <f>Investment_Master!AA19</f>
        <v>Medium</v>
      </c>
      <c r="D19" s="17">
        <f t="shared" si="0"/>
        <v>2</v>
      </c>
      <c r="E19" s="20">
        <f>Investment_Master!S19</f>
        <v>6.2889577719814668E-2</v>
      </c>
      <c r="F19" s="19">
        <f>Investment_Master!Q19</f>
        <v>3762629.1051281439</v>
      </c>
      <c r="G19" s="19">
        <f>Investment_Master!J19</f>
        <v>3540000</v>
      </c>
      <c r="H19" s="17" t="str">
        <f t="shared" si="1"/>
        <v>Low Return + Low Risk</v>
      </c>
      <c r="I19" s="17" t="str">
        <f>Investment_Master!AB19</f>
        <v>Watch</v>
      </c>
    </row>
    <row r="20" spans="1:9" ht="15" customHeight="1" x14ac:dyDescent="0.25">
      <c r="A20" s="17" t="str">
        <f>Investment_Master!A20</f>
        <v>INV-016</v>
      </c>
      <c r="B20" s="17" t="str">
        <f>Investment_Master!B20</f>
        <v>Plant Utility Upgrade – Central</v>
      </c>
      <c r="C20" s="17" t="str">
        <f>Investment_Master!AA20</f>
        <v>Low</v>
      </c>
      <c r="D20" s="17">
        <f t="shared" si="0"/>
        <v>1</v>
      </c>
      <c r="E20" s="20">
        <f>Investment_Master!S20</f>
        <v>0.16871676757097651</v>
      </c>
      <c r="F20" s="19">
        <f>Investment_Master!Q20</f>
        <v>42050429.297203735</v>
      </c>
      <c r="G20" s="19">
        <f>Investment_Master!J20</f>
        <v>35980000</v>
      </c>
      <c r="H20" s="17" t="str">
        <f t="shared" si="1"/>
        <v>High Return + Low/Medium Risk</v>
      </c>
      <c r="I20" s="17" t="str">
        <f>Investment_Master!AB20</f>
        <v>Watch</v>
      </c>
    </row>
    <row r="21" spans="1:9" ht="15" customHeight="1" x14ac:dyDescent="0.25">
      <c r="A21" s="17" t="str">
        <f>Investment_Master!A21</f>
        <v>INV-017</v>
      </c>
      <c r="B21" s="17" t="str">
        <f>Investment_Master!B21</f>
        <v>ERP Cloud Migration – South</v>
      </c>
      <c r="C21" s="17" t="str">
        <f>Investment_Master!AA21</f>
        <v>High</v>
      </c>
      <c r="D21" s="17">
        <f t="shared" si="0"/>
        <v>3</v>
      </c>
      <c r="E21" s="20">
        <f>Investment_Master!S21</f>
        <v>0.23018514605189799</v>
      </c>
      <c r="F21" s="19">
        <f>Investment_Master!Q21</f>
        <v>41383428.313185848</v>
      </c>
      <c r="G21" s="19">
        <f>Investment_Master!J21</f>
        <v>33640000</v>
      </c>
      <c r="H21" s="17" t="str">
        <f t="shared" si="1"/>
        <v>High Return + High Risk</v>
      </c>
      <c r="I21" s="17" t="str">
        <f>Investment_Master!AB21</f>
        <v>Watch</v>
      </c>
    </row>
    <row r="22" spans="1:9" ht="15" customHeight="1" x14ac:dyDescent="0.25">
      <c r="A22" s="17" t="str">
        <f>Investment_Master!A22</f>
        <v>INV-018</v>
      </c>
      <c r="B22" s="17" t="str">
        <f>Investment_Master!B22</f>
        <v>Brand Repositioning – West</v>
      </c>
      <c r="C22" s="17" t="str">
        <f>Investment_Master!AA22</f>
        <v>Medium</v>
      </c>
      <c r="D22" s="17">
        <f t="shared" si="0"/>
        <v>2</v>
      </c>
      <c r="E22" s="20">
        <f>Investment_Master!S22</f>
        <v>0.15564271794378687</v>
      </c>
      <c r="F22" s="19">
        <f>Investment_Master!Q22</f>
        <v>14260631.13942633</v>
      </c>
      <c r="G22" s="19">
        <f>Investment_Master!J22</f>
        <v>12340000</v>
      </c>
      <c r="H22" s="17" t="str">
        <f t="shared" si="1"/>
        <v>High Return + Low/Medium Risk</v>
      </c>
      <c r="I22" s="17" t="str">
        <f>Investment_Master!AB22</f>
        <v>Watch</v>
      </c>
    </row>
    <row r="23" spans="1:9" ht="15" customHeight="1" x14ac:dyDescent="0.25">
      <c r="A23" s="17" t="str">
        <f>Investment_Master!A23</f>
        <v>INV-019</v>
      </c>
      <c r="B23" s="17" t="str">
        <f>Investment_Master!B23</f>
        <v>Premium Product Line – North</v>
      </c>
      <c r="C23" s="17" t="str">
        <f>Investment_Master!AA23</f>
        <v>Low</v>
      </c>
      <c r="D23" s="17">
        <f t="shared" si="0"/>
        <v>1</v>
      </c>
      <c r="E23" s="20">
        <f>Investment_Master!S23</f>
        <v>5.400960209080221E-2</v>
      </c>
      <c r="F23" s="19">
        <f>Investment_Master!Q23</f>
        <v>28173676.663887143</v>
      </c>
      <c r="G23" s="19">
        <f>Investment_Master!J23</f>
        <v>26730000</v>
      </c>
      <c r="H23" s="17" t="str">
        <f t="shared" si="1"/>
        <v>Low Return + Low Risk</v>
      </c>
      <c r="I23" s="17" t="str">
        <f>Investment_Master!AB23</f>
        <v>Underperforming</v>
      </c>
    </row>
    <row r="24" spans="1:9" ht="15" customHeight="1" x14ac:dyDescent="0.25">
      <c r="A24" s="17" t="str">
        <f>Investment_Master!A24</f>
        <v>INV-020</v>
      </c>
      <c r="B24" s="17" t="str">
        <f>Investment_Master!B24</f>
        <v>Tier-2 City Expansion – East</v>
      </c>
      <c r="C24" s="17" t="str">
        <f>Investment_Master!AA24</f>
        <v>High</v>
      </c>
      <c r="D24" s="17">
        <f t="shared" si="0"/>
        <v>3</v>
      </c>
      <c r="E24" s="20">
        <f>Investment_Master!S24</f>
        <v>4.786642928408983E-2</v>
      </c>
      <c r="F24" s="19">
        <f>Investment_Master!Q24</f>
        <v>58020364.189460054</v>
      </c>
      <c r="G24" s="19">
        <f>Investment_Master!J24</f>
        <v>55370000</v>
      </c>
      <c r="H24" s="17" t="str">
        <f t="shared" si="1"/>
        <v>Low Return + High Risk</v>
      </c>
      <c r="I24" s="17" t="str">
        <f>Investment_Master!AB24</f>
        <v>Underperforming</v>
      </c>
    </row>
    <row r="25" spans="1:9" ht="15" customHeight="1" x14ac:dyDescent="0.25">
      <c r="A25" s="17" t="str">
        <f>Investment_Master!A25</f>
        <v>INV-021</v>
      </c>
      <c r="B25" s="17" t="str">
        <f>Investment_Master!B25</f>
        <v>Automated Packaging Line – Central</v>
      </c>
      <c r="C25" s="17" t="str">
        <f>Investment_Master!AA25</f>
        <v>Medium</v>
      </c>
      <c r="D25" s="17">
        <f t="shared" si="0"/>
        <v>2</v>
      </c>
      <c r="E25" s="20">
        <f>Investment_Master!S25</f>
        <v>0.14394119504249703</v>
      </c>
      <c r="F25" s="19">
        <f>Investment_Master!Q25</f>
        <v>20831169.161723871</v>
      </c>
      <c r="G25" s="19">
        <f>Investment_Master!J25</f>
        <v>18210000</v>
      </c>
      <c r="H25" s="17" t="str">
        <f t="shared" si="1"/>
        <v>High Return + Low/Medium Risk</v>
      </c>
      <c r="I25" s="17" t="str">
        <f>Investment_Master!AB25</f>
        <v>Watch</v>
      </c>
    </row>
    <row r="26" spans="1:9" ht="15" customHeight="1" x14ac:dyDescent="0.25">
      <c r="A26" s="17" t="str">
        <f>Investment_Master!A26</f>
        <v>INV-022</v>
      </c>
      <c r="B26" s="17" t="str">
        <f>Investment_Master!B26</f>
        <v>RPA Finance Rollout – South</v>
      </c>
      <c r="C26" s="17" t="str">
        <f>Investment_Master!AA26</f>
        <v>Low</v>
      </c>
      <c r="D26" s="17">
        <f t="shared" si="0"/>
        <v>1</v>
      </c>
      <c r="E26" s="20">
        <f>Investment_Master!S26</f>
        <v>0.22225073275770346</v>
      </c>
      <c r="F26" s="19">
        <f>Investment_Master!Q26</f>
        <v>36239734.226265907</v>
      </c>
      <c r="G26" s="19">
        <f>Investment_Master!J26</f>
        <v>29650000</v>
      </c>
      <c r="H26" s="17" t="str">
        <f t="shared" si="1"/>
        <v>High Return + Low/Medium Risk</v>
      </c>
      <c r="I26" s="17" t="str">
        <f>Investment_Master!AB26</f>
        <v>Watch</v>
      </c>
    </row>
    <row r="27" spans="1:9" ht="15" customHeight="1" x14ac:dyDescent="0.25">
      <c r="A27" s="17" t="str">
        <f>Investment_Master!A27</f>
        <v>INV-023</v>
      </c>
      <c r="B27" s="17" t="str">
        <f>Investment_Master!B27</f>
        <v>Leadership Development – West</v>
      </c>
      <c r="C27" s="17" t="str">
        <f>Investment_Master!AA27</f>
        <v>High</v>
      </c>
      <c r="D27" s="17">
        <f t="shared" si="0"/>
        <v>3</v>
      </c>
      <c r="E27" s="20">
        <f>Investment_Master!S27</f>
        <v>-0.14335482749914427</v>
      </c>
      <c r="F27" s="19">
        <f>Investment_Master!Q27</f>
        <v>2287242.6105772848</v>
      </c>
      <c r="G27" s="19">
        <f>Investment_Master!J27</f>
        <v>2670000</v>
      </c>
      <c r="H27" s="17" t="str">
        <f t="shared" si="1"/>
        <v>Low Return + High Risk</v>
      </c>
      <c r="I27" s="17" t="str">
        <f>Investment_Master!AB27</f>
        <v>Underperforming</v>
      </c>
    </row>
    <row r="28" spans="1:9" ht="15" customHeight="1" x14ac:dyDescent="0.25">
      <c r="A28" s="17" t="str">
        <f>Investment_Master!A28</f>
        <v>INV-024</v>
      </c>
      <c r="B28" s="17" t="str">
        <f>Investment_Master!B28</f>
        <v>Plant Utility Upgrade – North</v>
      </c>
      <c r="C28" s="17" t="str">
        <f>Investment_Master!AA28</f>
        <v>Medium</v>
      </c>
      <c r="D28" s="17">
        <f t="shared" si="0"/>
        <v>2</v>
      </c>
      <c r="E28" s="20">
        <f>Investment_Master!S28</f>
        <v>7.1530586598819057E-2</v>
      </c>
      <c r="F28" s="19">
        <f>Investment_Master!Q28</f>
        <v>47683111.103647448</v>
      </c>
      <c r="G28" s="19">
        <f>Investment_Master!J28</f>
        <v>44500000</v>
      </c>
      <c r="H28" s="17" t="str">
        <f t="shared" si="1"/>
        <v>Low Return + Low Risk</v>
      </c>
      <c r="I28" s="17" t="str">
        <f>Investment_Master!AB28</f>
        <v>Watch</v>
      </c>
    </row>
    <row r="29" spans="1:9" ht="15" customHeight="1" x14ac:dyDescent="0.25">
      <c r="A29" s="17" t="str">
        <f>Investment_Master!A29</f>
        <v>INV-025</v>
      </c>
      <c r="B29" s="17" t="str">
        <f>Investment_Master!B29</f>
        <v>ERP Cloud Migration – East</v>
      </c>
      <c r="C29" s="17" t="str">
        <f>Investment_Master!AA29</f>
        <v>Low</v>
      </c>
      <c r="D29" s="17">
        <f t="shared" si="0"/>
        <v>1</v>
      </c>
      <c r="E29" s="20">
        <f>Investment_Master!S29</f>
        <v>0.24548649412904022</v>
      </c>
      <c r="F29" s="19">
        <f>Investment_Master!Q29</f>
        <v>29455755.586151801</v>
      </c>
      <c r="G29" s="19">
        <f>Investment_Master!J29</f>
        <v>23650000</v>
      </c>
      <c r="H29" s="17" t="str">
        <f t="shared" si="1"/>
        <v>High Return + Low/Medium Risk</v>
      </c>
      <c r="I29" s="17" t="str">
        <f>Investment_Master!AB29</f>
        <v>Watch</v>
      </c>
    </row>
    <row r="30" spans="1:9" ht="15" customHeight="1" x14ac:dyDescent="0.25">
      <c r="A30" s="17" t="str">
        <f>Investment_Master!A30</f>
        <v>INV-026</v>
      </c>
      <c r="B30" s="17" t="str">
        <f>Investment_Master!B30</f>
        <v>Brand Repositioning – Central</v>
      </c>
      <c r="C30" s="17" t="str">
        <f>Investment_Master!AA30</f>
        <v>High</v>
      </c>
      <c r="D30" s="17">
        <f t="shared" si="0"/>
        <v>3</v>
      </c>
      <c r="E30" s="20">
        <f>Investment_Master!S30</f>
        <v>0.19276223962109204</v>
      </c>
      <c r="F30" s="19">
        <f>Investment_Master!Q30</f>
        <v>23473560.875743091</v>
      </c>
      <c r="G30" s="19">
        <f>Investment_Master!J30</f>
        <v>19680000</v>
      </c>
      <c r="H30" s="17" t="str">
        <f t="shared" si="1"/>
        <v>High Return + High Risk</v>
      </c>
      <c r="I30" s="17" t="str">
        <f>Investment_Master!AB30</f>
        <v>Watch</v>
      </c>
    </row>
    <row r="31" spans="1:9" ht="15" customHeight="1" x14ac:dyDescent="0.25">
      <c r="A31" s="17" t="str">
        <f>Investment_Master!A31</f>
        <v>INV-027</v>
      </c>
      <c r="B31" s="17" t="str">
        <f>Investment_Master!B31</f>
        <v>Premium Product Line – South</v>
      </c>
      <c r="C31" s="17" t="str">
        <f>Investment_Master!AA31</f>
        <v>Medium</v>
      </c>
      <c r="D31" s="17">
        <f t="shared" si="0"/>
        <v>2</v>
      </c>
      <c r="E31" s="20">
        <f>Investment_Master!S31</f>
        <v>0.15261561982631119</v>
      </c>
      <c r="F31" s="19">
        <f>Investment_Master!Q31</f>
        <v>24412398.827921271</v>
      </c>
      <c r="G31" s="19">
        <f>Investment_Master!J31</f>
        <v>21180000</v>
      </c>
      <c r="H31" s="17" t="str">
        <f t="shared" si="1"/>
        <v>High Return + Low/Medium Risk</v>
      </c>
      <c r="I31" s="17" t="str">
        <f>Investment_Master!AB31</f>
        <v>Watch</v>
      </c>
    </row>
    <row r="32" spans="1:9" ht="15" customHeight="1" x14ac:dyDescent="0.25">
      <c r="A32" s="17" t="str">
        <f>Investment_Master!A32</f>
        <v>INV-028</v>
      </c>
      <c r="B32" s="17" t="str">
        <f>Investment_Master!B32</f>
        <v>Tier-2 City Expansion – West</v>
      </c>
      <c r="C32" s="17" t="str">
        <f>Investment_Master!AA32</f>
        <v>Low</v>
      </c>
      <c r="D32" s="17">
        <f t="shared" si="0"/>
        <v>1</v>
      </c>
      <c r="E32" s="20">
        <f>Investment_Master!S32</f>
        <v>8.7303776498285718E-2</v>
      </c>
      <c r="F32" s="19">
        <f>Investment_Master!Q32</f>
        <v>53190900.746296138</v>
      </c>
      <c r="G32" s="19">
        <f>Investment_Master!J32</f>
        <v>48920000</v>
      </c>
      <c r="H32" s="17" t="str">
        <f t="shared" si="1"/>
        <v>Low Return + Low Risk</v>
      </c>
      <c r="I32" s="17" t="str">
        <f>Investment_Master!AB32</f>
        <v>Watch</v>
      </c>
    </row>
    <row r="33" spans="1:9" ht="15" customHeight="1" x14ac:dyDescent="0.25">
      <c r="A33" s="17" t="str">
        <f>Investment_Master!A33</f>
        <v>INV-029</v>
      </c>
      <c r="B33" s="17" t="str">
        <f>Investment_Master!B33</f>
        <v>Automated Packaging Line – North</v>
      </c>
      <c r="C33" s="17" t="str">
        <f>Investment_Master!AA33</f>
        <v>High</v>
      </c>
      <c r="D33" s="17">
        <f t="shared" si="0"/>
        <v>3</v>
      </c>
      <c r="E33" s="20">
        <f>Investment_Master!S33</f>
        <v>6.6073930067242242E-2</v>
      </c>
      <c r="F33" s="19">
        <f>Investment_Master!Q33</f>
        <v>28293602.103984609</v>
      </c>
      <c r="G33" s="19">
        <f>Investment_Master!J33</f>
        <v>26540000</v>
      </c>
      <c r="H33" s="17" t="str">
        <f t="shared" si="1"/>
        <v>Low Return + High Risk</v>
      </c>
      <c r="I33" s="17" t="str">
        <f>Investment_Master!AB33</f>
        <v>Underperforming</v>
      </c>
    </row>
    <row r="34" spans="1:9" ht="15" customHeight="1" x14ac:dyDescent="0.25">
      <c r="A34" s="17" t="str">
        <f>Investment_Master!A34</f>
        <v>INV-030</v>
      </c>
      <c r="B34" s="17" t="str">
        <f>Investment_Master!B34</f>
        <v>RPA Finance Rollout – East</v>
      </c>
      <c r="C34" s="17" t="str">
        <f>Investment_Master!AA34</f>
        <v>Medium</v>
      </c>
      <c r="D34" s="17">
        <f t="shared" si="0"/>
        <v>2</v>
      </c>
      <c r="E34" s="20">
        <f>Investment_Master!S34</f>
        <v>0.38734790407986663</v>
      </c>
      <c r="F34" s="19">
        <f>Investment_Master!Q34</f>
        <v>35002787.619935036</v>
      </c>
      <c r="G34" s="19">
        <f>Investment_Master!J34</f>
        <v>25230000</v>
      </c>
      <c r="H34" s="17" t="str">
        <f t="shared" si="1"/>
        <v>High Return + Low/Medium Risk</v>
      </c>
      <c r="I34" s="17" t="str">
        <f>Investment_Master!AB34</f>
        <v>Good</v>
      </c>
    </row>
    <row r="35" spans="1:9" ht="15" customHeight="1" x14ac:dyDescent="0.25">
      <c r="A35" s="17" t="str">
        <f>Investment_Master!A35</f>
        <v>INV-031</v>
      </c>
      <c r="B35" s="17" t="str">
        <f>Investment_Master!B35</f>
        <v>Leadership Development – Central</v>
      </c>
      <c r="C35" s="17" t="str">
        <f>Investment_Master!AA35</f>
        <v>Low</v>
      </c>
      <c r="D35" s="17">
        <f t="shared" si="0"/>
        <v>1</v>
      </c>
      <c r="E35" s="20">
        <f>Investment_Master!S35</f>
        <v>0.10765829272207592</v>
      </c>
      <c r="F35" s="19">
        <f>Investment_Master!Q35</f>
        <v>12106705.13945229</v>
      </c>
      <c r="G35" s="19">
        <f>Investment_Master!J35</f>
        <v>10930000</v>
      </c>
      <c r="H35" s="17" t="str">
        <f t="shared" si="1"/>
        <v>Low Return + Low Risk</v>
      </c>
      <c r="I35" s="17" t="str">
        <f>Investment_Master!AB35</f>
        <v>Watch</v>
      </c>
    </row>
    <row r="36" spans="1:9" ht="15" customHeight="1" x14ac:dyDescent="0.25">
      <c r="A36" s="17" t="str">
        <f>Investment_Master!A36</f>
        <v>INV-032</v>
      </c>
      <c r="B36" s="17" t="str">
        <f>Investment_Master!B36</f>
        <v>Plant Utility Upgrade – South</v>
      </c>
      <c r="C36" s="17" t="str">
        <f>Investment_Master!AA36</f>
        <v>High</v>
      </c>
      <c r="D36" s="17">
        <f t="shared" si="0"/>
        <v>3</v>
      </c>
      <c r="E36" s="20">
        <f>Investment_Master!S36</f>
        <v>-5.0894322740367287E-3</v>
      </c>
      <c r="F36" s="19">
        <f>Investment_Master!Q36</f>
        <v>19748974.769360371</v>
      </c>
      <c r="G36" s="19">
        <f>Investment_Master!J36</f>
        <v>19850000</v>
      </c>
      <c r="H36" s="17" t="str">
        <f t="shared" si="1"/>
        <v>Low Return + High Risk</v>
      </c>
      <c r="I36" s="17" t="str">
        <f>Investment_Master!AB36</f>
        <v>Underperforming</v>
      </c>
    </row>
    <row r="37" spans="1:9" ht="15" customHeight="1" x14ac:dyDescent="0.25">
      <c r="A37" s="17" t="str">
        <f>Investment_Master!A37</f>
        <v>INV-033</v>
      </c>
      <c r="B37" s="17" t="str">
        <f>Investment_Master!B37</f>
        <v>ERP Cloud Migration – West</v>
      </c>
      <c r="C37" s="17" t="str">
        <f>Investment_Master!AA37</f>
        <v>Medium</v>
      </c>
      <c r="D37" s="17">
        <f t="shared" ref="D37:D68" si="2">IF(C37="Low",1,IF(C37="Medium",2,3))</f>
        <v>2</v>
      </c>
      <c r="E37" s="20">
        <f>Investment_Master!S37</f>
        <v>0.32455102756953197</v>
      </c>
      <c r="F37" s="19">
        <f>Investment_Master!Q37</f>
        <v>20941151.745874301</v>
      </c>
      <c r="G37" s="19">
        <f>Investment_Master!J37</f>
        <v>15810000</v>
      </c>
      <c r="H37" s="17" t="str">
        <f t="shared" ref="H37:H68" si="3">IF(AND(E37&gt;=AVERAGE($E$5:$E$154),D37&lt;=2),"High Return + Low/Medium Risk",IF(AND(E37&gt;=AVERAGE($E$5:$E$154),D37&gt;2),"High Return + High Risk",IF(D37&lt;=2,"Low Return + Low Risk","Low Return + High Risk")))</f>
        <v>High Return + Low/Medium Risk</v>
      </c>
      <c r="I37" s="17" t="str">
        <f>Investment_Master!AB37</f>
        <v>Good</v>
      </c>
    </row>
    <row r="38" spans="1:9" ht="15" customHeight="1" x14ac:dyDescent="0.25">
      <c r="A38" s="17" t="str">
        <f>Investment_Master!A38</f>
        <v>INV-034</v>
      </c>
      <c r="B38" s="17" t="str">
        <f>Investment_Master!B38</f>
        <v>Brand Repositioning – North</v>
      </c>
      <c r="C38" s="17" t="str">
        <f>Investment_Master!AA38</f>
        <v>Low</v>
      </c>
      <c r="D38" s="17">
        <f t="shared" si="2"/>
        <v>1</v>
      </c>
      <c r="E38" s="20">
        <f>Investment_Master!S38</f>
        <v>0.18814070772756702</v>
      </c>
      <c r="F38" s="19">
        <f>Investment_Master!Q38</f>
        <v>24392528.729646951</v>
      </c>
      <c r="G38" s="19">
        <f>Investment_Master!J38</f>
        <v>20530000</v>
      </c>
      <c r="H38" s="17" t="str">
        <f t="shared" si="3"/>
        <v>High Return + Low/Medium Risk</v>
      </c>
      <c r="I38" s="17" t="str">
        <f>Investment_Master!AB38</f>
        <v>Watch</v>
      </c>
    </row>
    <row r="39" spans="1:9" ht="15" customHeight="1" x14ac:dyDescent="0.25">
      <c r="A39" s="17" t="str">
        <f>Investment_Master!A39</f>
        <v>INV-035</v>
      </c>
      <c r="B39" s="17" t="str">
        <f>Investment_Master!B39</f>
        <v>Premium Product Line – East</v>
      </c>
      <c r="C39" s="17" t="str">
        <f>Investment_Master!AA39</f>
        <v>High</v>
      </c>
      <c r="D39" s="17">
        <f t="shared" si="2"/>
        <v>3</v>
      </c>
      <c r="E39" s="20">
        <f>Investment_Master!S39</f>
        <v>3.6960184494177255E-2</v>
      </c>
      <c r="F39" s="19">
        <f>Investment_Master!Q39</f>
        <v>19422264.25557594</v>
      </c>
      <c r="G39" s="19">
        <f>Investment_Master!J39</f>
        <v>18730000</v>
      </c>
      <c r="H39" s="17" t="str">
        <f t="shared" si="3"/>
        <v>Low Return + High Risk</v>
      </c>
      <c r="I39" s="17" t="str">
        <f>Investment_Master!AB39</f>
        <v>Underperforming</v>
      </c>
    </row>
    <row r="40" spans="1:9" ht="15" customHeight="1" x14ac:dyDescent="0.25">
      <c r="A40" s="17" t="str">
        <f>Investment_Master!A40</f>
        <v>INV-036</v>
      </c>
      <c r="B40" s="17" t="str">
        <f>Investment_Master!B40</f>
        <v>Tier-2 City Expansion – Central</v>
      </c>
      <c r="C40" s="17" t="str">
        <f>Investment_Master!AA40</f>
        <v>Medium</v>
      </c>
      <c r="D40" s="17">
        <f t="shared" si="2"/>
        <v>2</v>
      </c>
      <c r="E40" s="20">
        <f>Investment_Master!S40</f>
        <v>0.16234013903712938</v>
      </c>
      <c r="F40" s="19">
        <f>Investment_Master!Q40</f>
        <v>39763656.156460196</v>
      </c>
      <c r="G40" s="19">
        <f>Investment_Master!J40</f>
        <v>34210000</v>
      </c>
      <c r="H40" s="17" t="str">
        <f t="shared" si="3"/>
        <v>High Return + Low/Medium Risk</v>
      </c>
      <c r="I40" s="17" t="str">
        <f>Investment_Master!AB40</f>
        <v>Watch</v>
      </c>
    </row>
    <row r="41" spans="1:9" ht="15" customHeight="1" x14ac:dyDescent="0.25">
      <c r="A41" s="17" t="str">
        <f>Investment_Master!A41</f>
        <v>INV-037</v>
      </c>
      <c r="B41" s="17" t="str">
        <f>Investment_Master!B41</f>
        <v>Automated Packaging Line – South</v>
      </c>
      <c r="C41" s="17" t="str">
        <f>Investment_Master!AA41</f>
        <v>Low</v>
      </c>
      <c r="D41" s="17">
        <f t="shared" si="2"/>
        <v>1</v>
      </c>
      <c r="E41" s="20">
        <f>Investment_Master!S41</f>
        <v>0.15425585421859722</v>
      </c>
      <c r="F41" s="19">
        <f>Investment_Master!Q41</f>
        <v>13701016.989574749</v>
      </c>
      <c r="G41" s="19">
        <f>Investment_Master!J41</f>
        <v>11870000</v>
      </c>
      <c r="H41" s="17" t="str">
        <f t="shared" si="3"/>
        <v>High Return + Low/Medium Risk</v>
      </c>
      <c r="I41" s="17" t="str">
        <f>Investment_Master!AB41</f>
        <v>Watch</v>
      </c>
    </row>
    <row r="42" spans="1:9" ht="15" customHeight="1" x14ac:dyDescent="0.25">
      <c r="A42" s="17" t="str">
        <f>Investment_Master!A42</f>
        <v>INV-038</v>
      </c>
      <c r="B42" s="17" t="str">
        <f>Investment_Master!B42</f>
        <v>RPA Finance Rollout – West</v>
      </c>
      <c r="C42" s="17" t="str">
        <f>Investment_Master!AA42</f>
        <v>High</v>
      </c>
      <c r="D42" s="17">
        <f t="shared" si="2"/>
        <v>3</v>
      </c>
      <c r="E42" s="20">
        <f>Investment_Master!S42</f>
        <v>6.7474471394015412E-2</v>
      </c>
      <c r="F42" s="19">
        <f>Investment_Master!Q42</f>
        <v>34020411.403327271</v>
      </c>
      <c r="G42" s="19">
        <f>Investment_Master!J42</f>
        <v>31870000</v>
      </c>
      <c r="H42" s="17" t="str">
        <f t="shared" si="3"/>
        <v>Low Return + High Risk</v>
      </c>
      <c r="I42" s="17" t="str">
        <f>Investment_Master!AB42</f>
        <v>Underperforming</v>
      </c>
    </row>
    <row r="43" spans="1:9" ht="15" customHeight="1" x14ac:dyDescent="0.25">
      <c r="A43" s="17" t="str">
        <f>Investment_Master!A43</f>
        <v>INV-039</v>
      </c>
      <c r="B43" s="17" t="str">
        <f>Investment_Master!B43</f>
        <v>Leadership Development – North</v>
      </c>
      <c r="C43" s="17" t="str">
        <f>Investment_Master!AA43</f>
        <v>Medium</v>
      </c>
      <c r="D43" s="17">
        <f t="shared" si="2"/>
        <v>2</v>
      </c>
      <c r="E43" s="20">
        <f>Investment_Master!S43</f>
        <v>-5.1420046586137677E-2</v>
      </c>
      <c r="F43" s="19">
        <f>Investment_Master!Q43</f>
        <v>11098385.454942189</v>
      </c>
      <c r="G43" s="19">
        <f>Investment_Master!J43</f>
        <v>11700000</v>
      </c>
      <c r="H43" s="17" t="str">
        <f t="shared" si="3"/>
        <v>Low Return + Low Risk</v>
      </c>
      <c r="I43" s="17" t="str">
        <f>Investment_Master!AB43</f>
        <v>Underperforming</v>
      </c>
    </row>
    <row r="44" spans="1:9" ht="15" customHeight="1" x14ac:dyDescent="0.25">
      <c r="A44" s="17" t="str">
        <f>Investment_Master!A44</f>
        <v>INV-040</v>
      </c>
      <c r="B44" s="17" t="str">
        <f>Investment_Master!B44</f>
        <v>Plant Utility Upgrade – East</v>
      </c>
      <c r="C44" s="17" t="str">
        <f>Investment_Master!AA44</f>
        <v>Low</v>
      </c>
      <c r="D44" s="17">
        <f t="shared" si="2"/>
        <v>1</v>
      </c>
      <c r="E44" s="20">
        <f>Investment_Master!S44</f>
        <v>0.18814888398197357</v>
      </c>
      <c r="F44" s="19">
        <f>Investment_Master!Q44</f>
        <v>51007231.589346126</v>
      </c>
      <c r="G44" s="19">
        <f>Investment_Master!J44</f>
        <v>42930000</v>
      </c>
      <c r="H44" s="17" t="str">
        <f t="shared" si="3"/>
        <v>High Return + Low/Medium Risk</v>
      </c>
      <c r="I44" s="17" t="str">
        <f>Investment_Master!AB44</f>
        <v>Watch</v>
      </c>
    </row>
    <row r="45" spans="1:9" ht="15" customHeight="1" x14ac:dyDescent="0.25">
      <c r="A45" s="17" t="str">
        <f>Investment_Master!A45</f>
        <v>INV-041</v>
      </c>
      <c r="B45" s="17" t="str">
        <f>Investment_Master!B45</f>
        <v>ERP Cloud Migration – Central</v>
      </c>
      <c r="C45" s="17" t="str">
        <f>Investment_Master!AA45</f>
        <v>High</v>
      </c>
      <c r="D45" s="17">
        <f t="shared" si="2"/>
        <v>3</v>
      </c>
      <c r="E45" s="20">
        <f>Investment_Master!S45</f>
        <v>0.12288899233615996</v>
      </c>
      <c r="F45" s="19">
        <f>Investment_Master!Q45</f>
        <v>42579950.589387186</v>
      </c>
      <c r="G45" s="19">
        <f>Investment_Master!J45</f>
        <v>37920000</v>
      </c>
      <c r="H45" s="17" t="str">
        <f t="shared" si="3"/>
        <v>Low Return + High Risk</v>
      </c>
      <c r="I45" s="17" t="str">
        <f>Investment_Master!AB45</f>
        <v>Underperforming</v>
      </c>
    </row>
    <row r="46" spans="1:9" ht="15" customHeight="1" x14ac:dyDescent="0.25">
      <c r="A46" s="17" t="str">
        <f>Investment_Master!A46</f>
        <v>INV-042</v>
      </c>
      <c r="B46" s="17" t="str">
        <f>Investment_Master!B46</f>
        <v>Brand Repositioning – South</v>
      </c>
      <c r="C46" s="17" t="str">
        <f>Investment_Master!AA46</f>
        <v>Medium</v>
      </c>
      <c r="D46" s="17">
        <f t="shared" si="2"/>
        <v>2</v>
      </c>
      <c r="E46" s="20">
        <f>Investment_Master!S46</f>
        <v>0.21676264718589033</v>
      </c>
      <c r="F46" s="19">
        <f>Investment_Master!Q46</f>
        <v>9186557.986253472</v>
      </c>
      <c r="G46" s="19">
        <f>Investment_Master!J46</f>
        <v>7550000</v>
      </c>
      <c r="H46" s="17" t="str">
        <f t="shared" si="3"/>
        <v>High Return + Low/Medium Risk</v>
      </c>
      <c r="I46" s="17" t="str">
        <f>Investment_Master!AB46</f>
        <v>Watch</v>
      </c>
    </row>
    <row r="47" spans="1:9" ht="15" customHeight="1" x14ac:dyDescent="0.25">
      <c r="A47" s="17" t="str">
        <f>Investment_Master!A47</f>
        <v>INV-043</v>
      </c>
      <c r="B47" s="17" t="str">
        <f>Investment_Master!B47</f>
        <v>Premium Product Line – West</v>
      </c>
      <c r="C47" s="17" t="str">
        <f>Investment_Master!AA47</f>
        <v>Low</v>
      </c>
      <c r="D47" s="17">
        <f t="shared" si="2"/>
        <v>1</v>
      </c>
      <c r="E47" s="20">
        <f>Investment_Master!S47</f>
        <v>5.3177210531215206E-2</v>
      </c>
      <c r="F47" s="19">
        <f>Investment_Master!Q47</f>
        <v>31890205.934885196</v>
      </c>
      <c r="G47" s="19">
        <f>Investment_Master!J47</f>
        <v>30280000</v>
      </c>
      <c r="H47" s="17" t="str">
        <f t="shared" si="3"/>
        <v>Low Return + Low Risk</v>
      </c>
      <c r="I47" s="17" t="str">
        <f>Investment_Master!AB47</f>
        <v>Underperforming</v>
      </c>
    </row>
    <row r="48" spans="1:9" ht="15" customHeight="1" x14ac:dyDescent="0.25">
      <c r="A48" s="17" t="str">
        <f>Investment_Master!A48</f>
        <v>INV-044</v>
      </c>
      <c r="B48" s="17" t="str">
        <f>Investment_Master!B48</f>
        <v>Tier-2 City Expansion – North</v>
      </c>
      <c r="C48" s="17" t="str">
        <f>Investment_Master!AA48</f>
        <v>High</v>
      </c>
      <c r="D48" s="17">
        <f t="shared" si="2"/>
        <v>3</v>
      </c>
      <c r="E48" s="20">
        <f>Investment_Master!S48</f>
        <v>2.6519691085848202E-2</v>
      </c>
      <c r="F48" s="19">
        <f>Investment_Master!Q48</f>
        <v>29871723.010598183</v>
      </c>
      <c r="G48" s="19">
        <f>Investment_Master!J48</f>
        <v>29100000</v>
      </c>
      <c r="H48" s="17" t="str">
        <f t="shared" si="3"/>
        <v>Low Return + High Risk</v>
      </c>
      <c r="I48" s="17" t="str">
        <f>Investment_Master!AB48</f>
        <v>Underperforming</v>
      </c>
    </row>
    <row r="49" spans="1:9" ht="15" customHeight="1" x14ac:dyDescent="0.25">
      <c r="A49" s="17" t="str">
        <f>Investment_Master!A49</f>
        <v>INV-045</v>
      </c>
      <c r="B49" s="17" t="str">
        <f>Investment_Master!B49</f>
        <v>Automated Packaging Line – East</v>
      </c>
      <c r="C49" s="17" t="str">
        <f>Investment_Master!AA49</f>
        <v>Medium</v>
      </c>
      <c r="D49" s="17">
        <f t="shared" si="2"/>
        <v>2</v>
      </c>
      <c r="E49" s="20">
        <f>Investment_Master!S49</f>
        <v>0.16392218256674476</v>
      </c>
      <c r="F49" s="19">
        <f>Investment_Master!Q49</f>
        <v>39398765.87988431</v>
      </c>
      <c r="G49" s="19">
        <f>Investment_Master!J49</f>
        <v>33850000</v>
      </c>
      <c r="H49" s="17" t="str">
        <f t="shared" si="3"/>
        <v>High Return + Low/Medium Risk</v>
      </c>
      <c r="I49" s="17" t="str">
        <f>Investment_Master!AB49</f>
        <v>Watch</v>
      </c>
    </row>
    <row r="50" spans="1:9" ht="15" customHeight="1" x14ac:dyDescent="0.25">
      <c r="A50" s="17" t="str">
        <f>Investment_Master!A50</f>
        <v>INV-046</v>
      </c>
      <c r="B50" s="17" t="str">
        <f>Investment_Master!B50</f>
        <v>RPA Finance Rollout – Central</v>
      </c>
      <c r="C50" s="17" t="str">
        <f>Investment_Master!AA50</f>
        <v>Low</v>
      </c>
      <c r="D50" s="17">
        <f t="shared" si="2"/>
        <v>1</v>
      </c>
      <c r="E50" s="20">
        <f>Investment_Master!S50</f>
        <v>0.33259576132521496</v>
      </c>
      <c r="F50" s="19">
        <f>Investment_Master!Q50</f>
        <v>18283213.845381949</v>
      </c>
      <c r="G50" s="19">
        <f>Investment_Master!J50</f>
        <v>13720000</v>
      </c>
      <c r="H50" s="17" t="str">
        <f t="shared" si="3"/>
        <v>High Return + Low/Medium Risk</v>
      </c>
      <c r="I50" s="17" t="str">
        <f>Investment_Master!AB50</f>
        <v>Good</v>
      </c>
    </row>
    <row r="51" spans="1:9" ht="15" customHeight="1" x14ac:dyDescent="0.25">
      <c r="A51" s="17" t="str">
        <f>Investment_Master!A51</f>
        <v>INV-047</v>
      </c>
      <c r="B51" s="17" t="str">
        <f>Investment_Master!B51</f>
        <v>Leadership Development – South</v>
      </c>
      <c r="C51" s="17" t="str">
        <f>Investment_Master!AA51</f>
        <v>High</v>
      </c>
      <c r="D51" s="17">
        <f t="shared" si="2"/>
        <v>3</v>
      </c>
      <c r="E51" s="20">
        <f>Investment_Master!S51</f>
        <v>2.7599303969155107E-3</v>
      </c>
      <c r="F51" s="19">
        <f>Investment_Master!Q51</f>
        <v>2597148.2197280112</v>
      </c>
      <c r="G51" s="19">
        <f>Investment_Master!J51</f>
        <v>2590000</v>
      </c>
      <c r="H51" s="17" t="str">
        <f t="shared" si="3"/>
        <v>Low Return + High Risk</v>
      </c>
      <c r="I51" s="17" t="str">
        <f>Investment_Master!AB51</f>
        <v>Underperforming</v>
      </c>
    </row>
    <row r="52" spans="1:9" ht="15" customHeight="1" x14ac:dyDescent="0.25">
      <c r="A52" s="17" t="str">
        <f>Investment_Master!A52</f>
        <v>INV-048</v>
      </c>
      <c r="B52" s="17" t="str">
        <f>Investment_Master!B52</f>
        <v>Plant Utility Upgrade – West</v>
      </c>
      <c r="C52" s="17" t="str">
        <f>Investment_Master!AA52</f>
        <v>Medium</v>
      </c>
      <c r="D52" s="17">
        <f t="shared" si="2"/>
        <v>2</v>
      </c>
      <c r="E52" s="20">
        <f>Investment_Master!S52</f>
        <v>0.12894852582579402</v>
      </c>
      <c r="F52" s="19">
        <f>Investment_Master!Q52</f>
        <v>20829100.3014859</v>
      </c>
      <c r="G52" s="19">
        <f>Investment_Master!J52</f>
        <v>18450000</v>
      </c>
      <c r="H52" s="17" t="str">
        <f t="shared" si="3"/>
        <v>Low Return + Low Risk</v>
      </c>
      <c r="I52" s="17" t="str">
        <f>Investment_Master!AB52</f>
        <v>Watch</v>
      </c>
    </row>
    <row r="53" spans="1:9" ht="15" customHeight="1" x14ac:dyDescent="0.25">
      <c r="A53" s="17" t="str">
        <f>Investment_Master!A53</f>
        <v>INV-049</v>
      </c>
      <c r="B53" s="17" t="str">
        <f>Investment_Master!B53</f>
        <v>ERP Cloud Migration – North</v>
      </c>
      <c r="C53" s="17" t="str">
        <f>Investment_Master!AA53</f>
        <v>Low</v>
      </c>
      <c r="D53" s="17">
        <f t="shared" si="2"/>
        <v>1</v>
      </c>
      <c r="E53" s="20">
        <f>Investment_Master!S53</f>
        <v>0.22512277121603688</v>
      </c>
      <c r="F53" s="19">
        <f>Investment_Master!Q53</f>
        <v>20177772.041928127</v>
      </c>
      <c r="G53" s="19">
        <f>Investment_Master!J53</f>
        <v>16470000</v>
      </c>
      <c r="H53" s="17" t="str">
        <f t="shared" si="3"/>
        <v>High Return + Low/Medium Risk</v>
      </c>
      <c r="I53" s="17" t="str">
        <f>Investment_Master!AB53</f>
        <v>Watch</v>
      </c>
    </row>
    <row r="54" spans="1:9" ht="15" customHeight="1" x14ac:dyDescent="0.25">
      <c r="A54" s="17" t="str">
        <f>Investment_Master!A54</f>
        <v>INV-050</v>
      </c>
      <c r="B54" s="17" t="str">
        <f>Investment_Master!B54</f>
        <v>Brand Repositioning – East</v>
      </c>
      <c r="C54" s="17" t="str">
        <f>Investment_Master!AA54</f>
        <v>High</v>
      </c>
      <c r="D54" s="17">
        <f t="shared" si="2"/>
        <v>3</v>
      </c>
      <c r="E54" s="20">
        <f>Investment_Master!S54</f>
        <v>5.1337095977568983E-2</v>
      </c>
      <c r="F54" s="19">
        <f>Investment_Master!Q54</f>
        <v>12742205.603248136</v>
      </c>
      <c r="G54" s="19">
        <f>Investment_Master!J54</f>
        <v>12120000</v>
      </c>
      <c r="H54" s="17" t="str">
        <f t="shared" si="3"/>
        <v>Low Return + High Risk</v>
      </c>
      <c r="I54" s="17" t="str">
        <f>Investment_Master!AB54</f>
        <v>Underperforming</v>
      </c>
    </row>
    <row r="55" spans="1:9" ht="15" customHeight="1" x14ac:dyDescent="0.25">
      <c r="A55" s="17" t="str">
        <f>Investment_Master!A55</f>
        <v>INV-051</v>
      </c>
      <c r="B55" s="17" t="str">
        <f>Investment_Master!B55</f>
        <v>Premium Product Line – Central</v>
      </c>
      <c r="C55" s="17" t="str">
        <f>Investment_Master!AA55</f>
        <v>Medium</v>
      </c>
      <c r="D55" s="17">
        <f t="shared" si="2"/>
        <v>2</v>
      </c>
      <c r="E55" s="20">
        <f>Investment_Master!S55</f>
        <v>0.14109803563256848</v>
      </c>
      <c r="F55" s="19">
        <f>Investment_Master!Q55</f>
        <v>26884269.719503313</v>
      </c>
      <c r="G55" s="19">
        <f>Investment_Master!J55</f>
        <v>23560000</v>
      </c>
      <c r="H55" s="17" t="str">
        <f t="shared" si="3"/>
        <v>High Return + Low/Medium Risk</v>
      </c>
      <c r="I55" s="17" t="str">
        <f>Investment_Master!AB55</f>
        <v>Underperforming</v>
      </c>
    </row>
    <row r="56" spans="1:9" ht="15" customHeight="1" x14ac:dyDescent="0.25">
      <c r="A56" s="17" t="str">
        <f>Investment_Master!A56</f>
        <v>INV-052</v>
      </c>
      <c r="B56" s="17" t="str">
        <f>Investment_Master!B56</f>
        <v>Tier-2 City Expansion – South</v>
      </c>
      <c r="C56" s="17" t="str">
        <f>Investment_Master!AA56</f>
        <v>Low</v>
      </c>
      <c r="D56" s="17">
        <f t="shared" si="2"/>
        <v>1</v>
      </c>
      <c r="E56" s="20">
        <f>Investment_Master!S56</f>
        <v>0.19338337877604347</v>
      </c>
      <c r="F56" s="19">
        <f>Investment_Master!Q56</f>
        <v>56375430.813380294</v>
      </c>
      <c r="G56" s="19">
        <f>Investment_Master!J56</f>
        <v>47240000</v>
      </c>
      <c r="H56" s="17" t="str">
        <f t="shared" si="3"/>
        <v>High Return + Low/Medium Risk</v>
      </c>
      <c r="I56" s="17" t="str">
        <f>Investment_Master!AB56</f>
        <v>Watch</v>
      </c>
    </row>
    <row r="57" spans="1:9" ht="15" customHeight="1" x14ac:dyDescent="0.25">
      <c r="A57" s="17" t="str">
        <f>Investment_Master!A57</f>
        <v>INV-053</v>
      </c>
      <c r="B57" s="17" t="str">
        <f>Investment_Master!B57</f>
        <v>Automated Packaging Line – West</v>
      </c>
      <c r="C57" s="17" t="str">
        <f>Investment_Master!AA57</f>
        <v>High</v>
      </c>
      <c r="D57" s="17">
        <f t="shared" si="2"/>
        <v>3</v>
      </c>
      <c r="E57" s="20">
        <f>Investment_Master!S57</f>
        <v>0.20079185658831022</v>
      </c>
      <c r="F57" s="19">
        <f>Investment_Master!Q57</f>
        <v>36095803.209044605</v>
      </c>
      <c r="G57" s="19">
        <f>Investment_Master!J57</f>
        <v>30060000</v>
      </c>
      <c r="H57" s="17" t="str">
        <f t="shared" si="3"/>
        <v>High Return + High Risk</v>
      </c>
      <c r="I57" s="17" t="str">
        <f>Investment_Master!AB57</f>
        <v>Watch</v>
      </c>
    </row>
    <row r="58" spans="1:9" ht="15" customHeight="1" x14ac:dyDescent="0.25">
      <c r="A58" s="17" t="str">
        <f>Investment_Master!A58</f>
        <v>INV-054</v>
      </c>
      <c r="B58" s="17" t="str">
        <f>Investment_Master!B58</f>
        <v>RPA Finance Rollout – North</v>
      </c>
      <c r="C58" s="17" t="str">
        <f>Investment_Master!AA58</f>
        <v>Medium</v>
      </c>
      <c r="D58" s="17">
        <f t="shared" si="2"/>
        <v>2</v>
      </c>
      <c r="E58" s="20">
        <f>Investment_Master!S58</f>
        <v>0.23473056949137708</v>
      </c>
      <c r="F58" s="19">
        <f>Investment_Master!Q58</f>
        <v>38980444.078842774</v>
      </c>
      <c r="G58" s="19">
        <f>Investment_Master!J58</f>
        <v>31570000</v>
      </c>
      <c r="H58" s="17" t="str">
        <f t="shared" si="3"/>
        <v>High Return + Low/Medium Risk</v>
      </c>
      <c r="I58" s="17" t="str">
        <f>Investment_Master!AB58</f>
        <v>Watch</v>
      </c>
    </row>
    <row r="59" spans="1:9" ht="15" customHeight="1" x14ac:dyDescent="0.25">
      <c r="A59" s="17" t="str">
        <f>Investment_Master!A59</f>
        <v>INV-055</v>
      </c>
      <c r="B59" s="17" t="str">
        <f>Investment_Master!B59</f>
        <v>Leadership Development – East</v>
      </c>
      <c r="C59" s="17" t="str">
        <f>Investment_Master!AA59</f>
        <v>Low</v>
      </c>
      <c r="D59" s="17">
        <f t="shared" si="2"/>
        <v>1</v>
      </c>
      <c r="E59" s="20">
        <f>Investment_Master!S59</f>
        <v>-1.6474706646282967E-2</v>
      </c>
      <c r="F59" s="19">
        <f>Investment_Master!Q59</f>
        <v>7750179.3116272902</v>
      </c>
      <c r="G59" s="19">
        <f>Investment_Master!J59</f>
        <v>7880000</v>
      </c>
      <c r="H59" s="17" t="str">
        <f t="shared" si="3"/>
        <v>Low Return + Low Risk</v>
      </c>
      <c r="I59" s="17" t="str">
        <f>Investment_Master!AB59</f>
        <v>Underperforming</v>
      </c>
    </row>
    <row r="60" spans="1:9" ht="15" customHeight="1" x14ac:dyDescent="0.25">
      <c r="A60" s="17" t="str">
        <f>Investment_Master!A60</f>
        <v>INV-056</v>
      </c>
      <c r="B60" s="17" t="str">
        <f>Investment_Master!B60</f>
        <v>Plant Utility Upgrade – Central</v>
      </c>
      <c r="C60" s="17" t="str">
        <f>Investment_Master!AA60</f>
        <v>High</v>
      </c>
      <c r="D60" s="17">
        <f t="shared" si="2"/>
        <v>3</v>
      </c>
      <c r="E60" s="20">
        <f>Investment_Master!S60</f>
        <v>-3.0828735407646512E-3</v>
      </c>
      <c r="F60" s="19">
        <f>Investment_Master!Q60</f>
        <v>59157062.284091026</v>
      </c>
      <c r="G60" s="19">
        <f>Investment_Master!J60</f>
        <v>59340000</v>
      </c>
      <c r="H60" s="17" t="str">
        <f t="shared" si="3"/>
        <v>Low Return + High Risk</v>
      </c>
      <c r="I60" s="17" t="str">
        <f>Investment_Master!AB60</f>
        <v>Underperforming</v>
      </c>
    </row>
    <row r="61" spans="1:9" ht="15" customHeight="1" x14ac:dyDescent="0.25">
      <c r="A61" s="17" t="str">
        <f>Investment_Master!A61</f>
        <v>INV-057</v>
      </c>
      <c r="B61" s="17" t="str">
        <f>Investment_Master!B61</f>
        <v>ERP Cloud Migration – South</v>
      </c>
      <c r="C61" s="17" t="str">
        <f>Investment_Master!AA61</f>
        <v>Medium</v>
      </c>
      <c r="D61" s="17">
        <f t="shared" si="2"/>
        <v>2</v>
      </c>
      <c r="E61" s="20">
        <f>Investment_Master!S61</f>
        <v>0.18102690391511994</v>
      </c>
      <c r="F61" s="19">
        <f>Investment_Master!Q61</f>
        <v>16475325.309615923</v>
      </c>
      <c r="G61" s="19">
        <f>Investment_Master!J61</f>
        <v>13950000</v>
      </c>
      <c r="H61" s="17" t="str">
        <f t="shared" si="3"/>
        <v>High Return + Low/Medium Risk</v>
      </c>
      <c r="I61" s="17" t="str">
        <f>Investment_Master!AB61</f>
        <v>Watch</v>
      </c>
    </row>
    <row r="62" spans="1:9" ht="15" customHeight="1" x14ac:dyDescent="0.25">
      <c r="A62" s="17" t="str">
        <f>Investment_Master!A62</f>
        <v>INV-058</v>
      </c>
      <c r="B62" s="17" t="str">
        <f>Investment_Master!B62</f>
        <v>Brand Repositioning – West</v>
      </c>
      <c r="C62" s="17" t="str">
        <f>Investment_Master!AA62</f>
        <v>Low</v>
      </c>
      <c r="D62" s="17">
        <f t="shared" si="2"/>
        <v>1</v>
      </c>
      <c r="E62" s="20">
        <f>Investment_Master!S62</f>
        <v>0.14733771611338836</v>
      </c>
      <c r="F62" s="19">
        <f>Investment_Master!Q62</f>
        <v>6803712.656552393</v>
      </c>
      <c r="G62" s="19">
        <f>Investment_Master!J62</f>
        <v>5930000</v>
      </c>
      <c r="H62" s="17" t="str">
        <f t="shared" si="3"/>
        <v>High Return + Low/Medium Risk</v>
      </c>
      <c r="I62" s="17" t="str">
        <f>Investment_Master!AB62</f>
        <v>Watch</v>
      </c>
    </row>
    <row r="63" spans="1:9" ht="15" customHeight="1" x14ac:dyDescent="0.25">
      <c r="A63" s="17" t="str">
        <f>Investment_Master!A63</f>
        <v>INV-059</v>
      </c>
      <c r="B63" s="17" t="str">
        <f>Investment_Master!B63</f>
        <v>Premium Product Line – North</v>
      </c>
      <c r="C63" s="17" t="str">
        <f>Investment_Master!AA63</f>
        <v>High</v>
      </c>
      <c r="D63" s="17">
        <f t="shared" si="2"/>
        <v>3</v>
      </c>
      <c r="E63" s="20">
        <f>Investment_Master!S63</f>
        <v>-4.8657736780914319E-2</v>
      </c>
      <c r="F63" s="19">
        <f>Investment_Master!Q63</f>
        <v>22908321.698315583</v>
      </c>
      <c r="G63" s="19">
        <f>Investment_Master!J63</f>
        <v>24080000</v>
      </c>
      <c r="H63" s="17" t="str">
        <f t="shared" si="3"/>
        <v>Low Return + High Risk</v>
      </c>
      <c r="I63" s="17" t="str">
        <f>Investment_Master!AB63</f>
        <v>Underperforming</v>
      </c>
    </row>
    <row r="64" spans="1:9" ht="15" customHeight="1" x14ac:dyDescent="0.25">
      <c r="A64" s="17" t="str">
        <f>Investment_Master!A64</f>
        <v>INV-060</v>
      </c>
      <c r="B64" s="17" t="str">
        <f>Investment_Master!B64</f>
        <v>Tier-2 City Expansion – East</v>
      </c>
      <c r="C64" s="17" t="str">
        <f>Investment_Master!AA64</f>
        <v>Medium</v>
      </c>
      <c r="D64" s="17">
        <f t="shared" si="2"/>
        <v>2</v>
      </c>
      <c r="E64" s="20">
        <f>Investment_Master!S64</f>
        <v>0.10394126684275518</v>
      </c>
      <c r="F64" s="19">
        <f>Investment_Master!Q64</f>
        <v>45758365.510632202</v>
      </c>
      <c r="G64" s="19">
        <f>Investment_Master!J64</f>
        <v>41450000</v>
      </c>
      <c r="H64" s="17" t="str">
        <f t="shared" si="3"/>
        <v>Low Return + Low Risk</v>
      </c>
      <c r="I64" s="17" t="str">
        <f>Investment_Master!AB64</f>
        <v>Watch</v>
      </c>
    </row>
    <row r="65" spans="1:9" ht="15" customHeight="1" x14ac:dyDescent="0.25">
      <c r="A65" s="17" t="str">
        <f>Investment_Master!A65</f>
        <v>INV-061</v>
      </c>
      <c r="B65" s="17" t="str">
        <f>Investment_Master!B65</f>
        <v>Automated Packaging Line – Central</v>
      </c>
      <c r="C65" s="17" t="str">
        <f>Investment_Master!AA65</f>
        <v>Low</v>
      </c>
      <c r="D65" s="17">
        <f t="shared" si="2"/>
        <v>1</v>
      </c>
      <c r="E65" s="20">
        <f>Investment_Master!S65</f>
        <v>0.19108369086068833</v>
      </c>
      <c r="F65" s="19">
        <f>Investment_Master!Q65</f>
        <v>52157554.822789542</v>
      </c>
      <c r="G65" s="19">
        <f>Investment_Master!J65</f>
        <v>43790000</v>
      </c>
      <c r="H65" s="17" t="str">
        <f t="shared" si="3"/>
        <v>High Return + Low/Medium Risk</v>
      </c>
      <c r="I65" s="17" t="str">
        <f>Investment_Master!AB65</f>
        <v>Watch</v>
      </c>
    </row>
    <row r="66" spans="1:9" ht="15" customHeight="1" x14ac:dyDescent="0.25">
      <c r="A66" s="17" t="str">
        <f>Investment_Master!A66</f>
        <v>INV-062</v>
      </c>
      <c r="B66" s="17" t="str">
        <f>Investment_Master!B66</f>
        <v>RPA Finance Rollout – South</v>
      </c>
      <c r="C66" s="17" t="str">
        <f>Investment_Master!AA66</f>
        <v>High</v>
      </c>
      <c r="D66" s="17">
        <f t="shared" si="2"/>
        <v>3</v>
      </c>
      <c r="E66" s="20">
        <f>Investment_Master!S66</f>
        <v>0.16720831196354127</v>
      </c>
      <c r="F66" s="19">
        <f>Investment_Master!Q66</f>
        <v>15722295.962148901</v>
      </c>
      <c r="G66" s="19">
        <f>Investment_Master!J66</f>
        <v>13470000</v>
      </c>
      <c r="H66" s="17" t="str">
        <f t="shared" si="3"/>
        <v>High Return + High Risk</v>
      </c>
      <c r="I66" s="17" t="str">
        <f>Investment_Master!AB66</f>
        <v>Watch</v>
      </c>
    </row>
    <row r="67" spans="1:9" ht="15" customHeight="1" x14ac:dyDescent="0.25">
      <c r="A67" s="17" t="str">
        <f>Investment_Master!A67</f>
        <v>INV-063</v>
      </c>
      <c r="B67" s="17" t="str">
        <f>Investment_Master!B67</f>
        <v>Leadership Development – West</v>
      </c>
      <c r="C67" s="17" t="str">
        <f>Investment_Master!AA67</f>
        <v>Medium</v>
      </c>
      <c r="D67" s="17">
        <f t="shared" si="2"/>
        <v>2</v>
      </c>
      <c r="E67" s="20">
        <f>Investment_Master!S67</f>
        <v>-3.245991331445159E-2</v>
      </c>
      <c r="F67" s="19">
        <f>Investment_Master!Q67</f>
        <v>7691943.6891501099</v>
      </c>
      <c r="G67" s="19">
        <f>Investment_Master!J67</f>
        <v>7950000</v>
      </c>
      <c r="H67" s="17" t="str">
        <f t="shared" si="3"/>
        <v>Low Return + Low Risk</v>
      </c>
      <c r="I67" s="17" t="str">
        <f>Investment_Master!AB67</f>
        <v>Underperforming</v>
      </c>
    </row>
    <row r="68" spans="1:9" ht="15" customHeight="1" x14ac:dyDescent="0.25">
      <c r="A68" s="17" t="str">
        <f>Investment_Master!A68</f>
        <v>INV-064</v>
      </c>
      <c r="B68" s="17" t="str">
        <f>Investment_Master!B68</f>
        <v>Plant Utility Upgrade – North</v>
      </c>
      <c r="C68" s="17" t="str">
        <f>Investment_Master!AA68</f>
        <v>Low</v>
      </c>
      <c r="D68" s="17">
        <f t="shared" si="2"/>
        <v>1</v>
      </c>
      <c r="E68" s="20">
        <f>Investment_Master!S68</f>
        <v>0.14270327029306218</v>
      </c>
      <c r="F68" s="19">
        <f>Investment_Master!Q68</f>
        <v>44748260.064676315</v>
      </c>
      <c r="G68" s="19">
        <f>Investment_Master!J68</f>
        <v>39160000</v>
      </c>
      <c r="H68" s="17" t="str">
        <f t="shared" si="3"/>
        <v>High Return + Low/Medium Risk</v>
      </c>
      <c r="I68" s="17" t="str">
        <f>Investment_Master!AB68</f>
        <v>Watch</v>
      </c>
    </row>
    <row r="69" spans="1:9" ht="15" customHeight="1" x14ac:dyDescent="0.25">
      <c r="A69" s="17" t="str">
        <f>Investment_Master!A69</f>
        <v>INV-065</v>
      </c>
      <c r="B69" s="17" t="str">
        <f>Investment_Master!B69</f>
        <v>ERP Cloud Migration – East</v>
      </c>
      <c r="C69" s="17" t="str">
        <f>Investment_Master!AA69</f>
        <v>High</v>
      </c>
      <c r="D69" s="17">
        <f t="shared" ref="D69:D100" si="4">IF(C69="Low",1,IF(C69="Medium",2,3))</f>
        <v>3</v>
      </c>
      <c r="E69" s="20">
        <f>Investment_Master!S69</f>
        <v>0.17079999280711514</v>
      </c>
      <c r="F69" s="19">
        <f>Investment_Master!Q69</f>
        <v>41329239.746091165</v>
      </c>
      <c r="G69" s="19">
        <f>Investment_Master!J69</f>
        <v>35300000</v>
      </c>
      <c r="H69" s="17" t="str">
        <f t="shared" ref="H69:H100" si="5">IF(AND(E69&gt;=AVERAGE($E$5:$E$154),D69&lt;=2),"High Return + Low/Medium Risk",IF(AND(E69&gt;=AVERAGE($E$5:$E$154),D69&gt;2),"High Return + High Risk",IF(D69&lt;=2,"Low Return + Low Risk","Low Return + High Risk")))</f>
        <v>High Return + High Risk</v>
      </c>
      <c r="I69" s="17" t="str">
        <f>Investment_Master!AB69</f>
        <v>Watch</v>
      </c>
    </row>
    <row r="70" spans="1:9" ht="15" customHeight="1" x14ac:dyDescent="0.25">
      <c r="A70" s="17" t="str">
        <f>Investment_Master!A70</f>
        <v>INV-066</v>
      </c>
      <c r="B70" s="17" t="str">
        <f>Investment_Master!B70</f>
        <v>Brand Repositioning – Central</v>
      </c>
      <c r="C70" s="17" t="str">
        <f>Investment_Master!AA70</f>
        <v>Medium</v>
      </c>
      <c r="D70" s="17">
        <f t="shared" si="4"/>
        <v>2</v>
      </c>
      <c r="E70" s="20">
        <f>Investment_Master!S70</f>
        <v>0.19884031898922255</v>
      </c>
      <c r="F70" s="19">
        <f>Investment_Master!Q70</f>
        <v>17455115.044483081</v>
      </c>
      <c r="G70" s="19">
        <f>Investment_Master!J70</f>
        <v>14560000</v>
      </c>
      <c r="H70" s="17" t="str">
        <f t="shared" si="5"/>
        <v>High Return + Low/Medium Risk</v>
      </c>
      <c r="I70" s="17" t="str">
        <f>Investment_Master!AB70</f>
        <v>Watch</v>
      </c>
    </row>
    <row r="71" spans="1:9" ht="15" customHeight="1" x14ac:dyDescent="0.25">
      <c r="A71" s="17" t="str">
        <f>Investment_Master!A71</f>
        <v>INV-067</v>
      </c>
      <c r="B71" s="17" t="str">
        <f>Investment_Master!B71</f>
        <v>Premium Product Line – South</v>
      </c>
      <c r="C71" s="17" t="str">
        <f>Investment_Master!AA71</f>
        <v>Low</v>
      </c>
      <c r="D71" s="17">
        <f t="shared" si="4"/>
        <v>1</v>
      </c>
      <c r="E71" s="20">
        <f>Investment_Master!S71</f>
        <v>7.6659095027279245E-2</v>
      </c>
      <c r="F71" s="19">
        <f>Investment_Master!Q71</f>
        <v>48158961.320570201</v>
      </c>
      <c r="G71" s="19">
        <f>Investment_Master!J71</f>
        <v>44730000</v>
      </c>
      <c r="H71" s="17" t="str">
        <f t="shared" si="5"/>
        <v>Low Return + Low Risk</v>
      </c>
      <c r="I71" s="17" t="str">
        <f>Investment_Master!AB71</f>
        <v>Underperforming</v>
      </c>
    </row>
    <row r="72" spans="1:9" ht="15" customHeight="1" x14ac:dyDescent="0.25">
      <c r="A72" s="17" t="str">
        <f>Investment_Master!A72</f>
        <v>INV-068</v>
      </c>
      <c r="B72" s="17" t="str">
        <f>Investment_Master!B72</f>
        <v>Tier-2 City Expansion – West</v>
      </c>
      <c r="C72" s="17" t="str">
        <f>Investment_Master!AA72</f>
        <v>High</v>
      </c>
      <c r="D72" s="17">
        <f t="shared" si="4"/>
        <v>3</v>
      </c>
      <c r="E72" s="20">
        <f>Investment_Master!S72</f>
        <v>0.18785820554481411</v>
      </c>
      <c r="F72" s="19">
        <f>Investment_Master!Q72</f>
        <v>48108257.324564971</v>
      </c>
      <c r="G72" s="19">
        <f>Investment_Master!J72</f>
        <v>40500000</v>
      </c>
      <c r="H72" s="17" t="str">
        <f t="shared" si="5"/>
        <v>High Return + High Risk</v>
      </c>
      <c r="I72" s="17" t="str">
        <f>Investment_Master!AB72</f>
        <v>Watch</v>
      </c>
    </row>
    <row r="73" spans="1:9" ht="15" customHeight="1" x14ac:dyDescent="0.25">
      <c r="A73" s="17" t="str">
        <f>Investment_Master!A73</f>
        <v>INV-069</v>
      </c>
      <c r="B73" s="17" t="str">
        <f>Investment_Master!B73</f>
        <v>Automated Packaging Line – North</v>
      </c>
      <c r="C73" s="17" t="str">
        <f>Investment_Master!AA73</f>
        <v>Medium</v>
      </c>
      <c r="D73" s="17">
        <f t="shared" si="4"/>
        <v>2</v>
      </c>
      <c r="E73" s="20">
        <f>Investment_Master!S73</f>
        <v>0.24759923832155653</v>
      </c>
      <c r="F73" s="19">
        <f>Investment_Master!Q73</f>
        <v>29031634.27574262</v>
      </c>
      <c r="G73" s="19">
        <f>Investment_Master!J73</f>
        <v>23270000</v>
      </c>
      <c r="H73" s="17" t="str">
        <f t="shared" si="5"/>
        <v>High Return + Low/Medium Risk</v>
      </c>
      <c r="I73" s="17" t="str">
        <f>Investment_Master!AB73</f>
        <v>Watch</v>
      </c>
    </row>
    <row r="74" spans="1:9" ht="15" customHeight="1" x14ac:dyDescent="0.25">
      <c r="A74" s="17" t="str">
        <f>Investment_Master!A74</f>
        <v>INV-070</v>
      </c>
      <c r="B74" s="17" t="str">
        <f>Investment_Master!B74</f>
        <v>RPA Finance Rollout – East</v>
      </c>
      <c r="C74" s="17" t="str">
        <f>Investment_Master!AA74</f>
        <v>Low</v>
      </c>
      <c r="D74" s="17">
        <f t="shared" si="4"/>
        <v>1</v>
      </c>
      <c r="E74" s="20">
        <f>Investment_Master!S74</f>
        <v>0.15781227817980278</v>
      </c>
      <c r="F74" s="19">
        <f>Investment_Master!Q74</f>
        <v>34815415.20486667</v>
      </c>
      <c r="G74" s="19">
        <f>Investment_Master!J74</f>
        <v>30070000</v>
      </c>
      <c r="H74" s="17" t="str">
        <f t="shared" si="5"/>
        <v>High Return + Low/Medium Risk</v>
      </c>
      <c r="I74" s="17" t="str">
        <f>Investment_Master!AB74</f>
        <v>Watch</v>
      </c>
    </row>
    <row r="75" spans="1:9" ht="15" customHeight="1" x14ac:dyDescent="0.25">
      <c r="A75" s="17" t="str">
        <f>Investment_Master!A75</f>
        <v>INV-071</v>
      </c>
      <c r="B75" s="17" t="str">
        <f>Investment_Master!B75</f>
        <v>Leadership Development – Central</v>
      </c>
      <c r="C75" s="17" t="str">
        <f>Investment_Master!AA75</f>
        <v>High</v>
      </c>
      <c r="D75" s="17">
        <f t="shared" si="4"/>
        <v>3</v>
      </c>
      <c r="E75" s="20">
        <f>Investment_Master!S75</f>
        <v>-1.4746645843265136E-2</v>
      </c>
      <c r="F75" s="19">
        <f>Investment_Master!Q75</f>
        <v>9143151.1265744995</v>
      </c>
      <c r="G75" s="19">
        <f>Investment_Master!J75</f>
        <v>9280000</v>
      </c>
      <c r="H75" s="17" t="str">
        <f t="shared" si="5"/>
        <v>Low Return + High Risk</v>
      </c>
      <c r="I75" s="17" t="str">
        <f>Investment_Master!AB75</f>
        <v>Underperforming</v>
      </c>
    </row>
    <row r="76" spans="1:9" ht="15" customHeight="1" x14ac:dyDescent="0.25">
      <c r="A76" s="17" t="str">
        <f>Investment_Master!A76</f>
        <v>INV-072</v>
      </c>
      <c r="B76" s="17" t="str">
        <f>Investment_Master!B76</f>
        <v>Plant Utility Upgrade – South</v>
      </c>
      <c r="C76" s="17" t="str">
        <f>Investment_Master!AA76</f>
        <v>Medium</v>
      </c>
      <c r="D76" s="17">
        <f t="shared" si="4"/>
        <v>2</v>
      </c>
      <c r="E76" s="20">
        <f>Investment_Master!S76</f>
        <v>2.7814760574180704E-2</v>
      </c>
      <c r="F76" s="19">
        <f>Investment_Master!Q76</f>
        <v>19168745.28470847</v>
      </c>
      <c r="G76" s="19">
        <f>Investment_Master!J76</f>
        <v>18650000</v>
      </c>
      <c r="H76" s="17" t="str">
        <f t="shared" si="5"/>
        <v>Low Return + Low Risk</v>
      </c>
      <c r="I76" s="17" t="str">
        <f>Investment_Master!AB76</f>
        <v>Underperforming</v>
      </c>
    </row>
    <row r="77" spans="1:9" ht="15" customHeight="1" x14ac:dyDescent="0.25">
      <c r="A77" s="17" t="str">
        <f>Investment_Master!A77</f>
        <v>INV-073</v>
      </c>
      <c r="B77" s="17" t="str">
        <f>Investment_Master!B77</f>
        <v>ERP Cloud Migration – West</v>
      </c>
      <c r="C77" s="17" t="str">
        <f>Investment_Master!AA77</f>
        <v>Low</v>
      </c>
      <c r="D77" s="17">
        <f t="shared" si="4"/>
        <v>1</v>
      </c>
      <c r="E77" s="20">
        <f>Investment_Master!S77</f>
        <v>0.19255062237266266</v>
      </c>
      <c r="F77" s="19">
        <f>Investment_Master!Q77</f>
        <v>31471410.924414568</v>
      </c>
      <c r="G77" s="19">
        <f>Investment_Master!J77</f>
        <v>26390000</v>
      </c>
      <c r="H77" s="17" t="str">
        <f t="shared" si="5"/>
        <v>High Return + Low/Medium Risk</v>
      </c>
      <c r="I77" s="17" t="str">
        <f>Investment_Master!AB77</f>
        <v>Watch</v>
      </c>
    </row>
    <row r="78" spans="1:9" ht="15" customHeight="1" x14ac:dyDescent="0.25">
      <c r="A78" s="17" t="str">
        <f>Investment_Master!A78</f>
        <v>INV-074</v>
      </c>
      <c r="B78" s="17" t="str">
        <f>Investment_Master!B78</f>
        <v>Brand Repositioning – North</v>
      </c>
      <c r="C78" s="17" t="str">
        <f>Investment_Master!AA78</f>
        <v>High</v>
      </c>
      <c r="D78" s="17">
        <f t="shared" si="4"/>
        <v>3</v>
      </c>
      <c r="E78" s="20">
        <f>Investment_Master!S78</f>
        <v>1.6673719639803734E-2</v>
      </c>
      <c r="F78" s="19">
        <f>Investment_Master!Q78</f>
        <v>16439614.046575626</v>
      </c>
      <c r="G78" s="19">
        <f>Investment_Master!J78</f>
        <v>16170000</v>
      </c>
      <c r="H78" s="17" t="str">
        <f t="shared" si="5"/>
        <v>Low Return + High Risk</v>
      </c>
      <c r="I78" s="17" t="str">
        <f>Investment_Master!AB78</f>
        <v>Underperforming</v>
      </c>
    </row>
    <row r="79" spans="1:9" ht="15" customHeight="1" x14ac:dyDescent="0.25">
      <c r="A79" s="17" t="str">
        <f>Investment_Master!A79</f>
        <v>INV-075</v>
      </c>
      <c r="B79" s="17" t="str">
        <f>Investment_Master!B79</f>
        <v>Premium Product Line – East</v>
      </c>
      <c r="C79" s="17" t="str">
        <f>Investment_Master!AA79</f>
        <v>Medium</v>
      </c>
      <c r="D79" s="17">
        <f t="shared" si="4"/>
        <v>2</v>
      </c>
      <c r="E79" s="20">
        <f>Investment_Master!S79</f>
        <v>6.4471125350909597E-2</v>
      </c>
      <c r="F79" s="19">
        <f>Investment_Master!Q79</f>
        <v>42802383.950360075</v>
      </c>
      <c r="G79" s="19">
        <f>Investment_Master!J79</f>
        <v>40210000</v>
      </c>
      <c r="H79" s="17" t="str">
        <f t="shared" si="5"/>
        <v>Low Return + Low Risk</v>
      </c>
      <c r="I79" s="17" t="str">
        <f>Investment_Master!AB79</f>
        <v>Underperforming</v>
      </c>
    </row>
    <row r="80" spans="1:9" ht="15" customHeight="1" x14ac:dyDescent="0.25">
      <c r="A80" s="17" t="str">
        <f>Investment_Master!A80</f>
        <v>INV-076</v>
      </c>
      <c r="B80" s="17" t="str">
        <f>Investment_Master!B80</f>
        <v>Tier-2 City Expansion – Central</v>
      </c>
      <c r="C80" s="17" t="str">
        <f>Investment_Master!AA80</f>
        <v>Low</v>
      </c>
      <c r="D80" s="17">
        <f t="shared" si="4"/>
        <v>1</v>
      </c>
      <c r="E80" s="20">
        <f>Investment_Master!S80</f>
        <v>7.7364550187084394E-2</v>
      </c>
      <c r="F80" s="19">
        <f>Investment_Master!Q80</f>
        <v>47641060.409272872</v>
      </c>
      <c r="G80" s="19">
        <f>Investment_Master!J80</f>
        <v>44220000</v>
      </c>
      <c r="H80" s="17" t="str">
        <f t="shared" si="5"/>
        <v>Low Return + Low Risk</v>
      </c>
      <c r="I80" s="17" t="str">
        <f>Investment_Master!AB80</f>
        <v>Underperforming</v>
      </c>
    </row>
    <row r="81" spans="1:9" ht="15" customHeight="1" x14ac:dyDescent="0.25">
      <c r="A81" s="17" t="str">
        <f>Investment_Master!A81</f>
        <v>INV-077</v>
      </c>
      <c r="B81" s="17" t="str">
        <f>Investment_Master!B81</f>
        <v>Automated Packaging Line – South</v>
      </c>
      <c r="C81" s="17" t="str">
        <f>Investment_Master!AA81</f>
        <v>High</v>
      </c>
      <c r="D81" s="17">
        <f t="shared" si="4"/>
        <v>3</v>
      </c>
      <c r="E81" s="20">
        <f>Investment_Master!S81</f>
        <v>1.0752813548355654E-2</v>
      </c>
      <c r="F81" s="19">
        <f>Investment_Master!Q81</f>
        <v>41865381.537172891</v>
      </c>
      <c r="G81" s="19">
        <f>Investment_Master!J81</f>
        <v>41420000</v>
      </c>
      <c r="H81" s="17" t="str">
        <f t="shared" si="5"/>
        <v>Low Return + High Risk</v>
      </c>
      <c r="I81" s="17" t="str">
        <f>Investment_Master!AB81</f>
        <v>Underperforming</v>
      </c>
    </row>
    <row r="82" spans="1:9" ht="15" customHeight="1" x14ac:dyDescent="0.25">
      <c r="A82" s="17" t="str">
        <f>Investment_Master!A82</f>
        <v>INV-078</v>
      </c>
      <c r="B82" s="17" t="str">
        <f>Investment_Master!B82</f>
        <v>RPA Finance Rollout – West</v>
      </c>
      <c r="C82" s="17" t="str">
        <f>Investment_Master!AA82</f>
        <v>Medium</v>
      </c>
      <c r="D82" s="17">
        <f t="shared" si="4"/>
        <v>2</v>
      </c>
      <c r="E82" s="20">
        <f>Investment_Master!S82</f>
        <v>0.2304213103027663</v>
      </c>
      <c r="F82" s="19">
        <f>Investment_Master!Q82</f>
        <v>33479763.853338271</v>
      </c>
      <c r="G82" s="19">
        <f>Investment_Master!J82</f>
        <v>27210000</v>
      </c>
      <c r="H82" s="17" t="str">
        <f t="shared" si="5"/>
        <v>High Return + Low/Medium Risk</v>
      </c>
      <c r="I82" s="17" t="str">
        <f>Investment_Master!AB82</f>
        <v>Watch</v>
      </c>
    </row>
    <row r="83" spans="1:9" ht="15" customHeight="1" x14ac:dyDescent="0.25">
      <c r="A83" s="17" t="str">
        <f>Investment_Master!A83</f>
        <v>INV-079</v>
      </c>
      <c r="B83" s="17" t="str">
        <f>Investment_Master!B83</f>
        <v>Leadership Development – North</v>
      </c>
      <c r="C83" s="17" t="str">
        <f>Investment_Master!AA83</f>
        <v>Low</v>
      </c>
      <c r="D83" s="17">
        <f t="shared" si="4"/>
        <v>1</v>
      </c>
      <c r="E83" s="20">
        <f>Investment_Master!S83</f>
        <v>-6.564863278350954E-3</v>
      </c>
      <c r="F83" s="19">
        <f>Investment_Master!Q83</f>
        <v>11633125.45101051</v>
      </c>
      <c r="G83" s="19">
        <f>Investment_Master!J83</f>
        <v>11710000</v>
      </c>
      <c r="H83" s="17" t="str">
        <f t="shared" si="5"/>
        <v>Low Return + Low Risk</v>
      </c>
      <c r="I83" s="17" t="str">
        <f>Investment_Master!AB83</f>
        <v>Underperforming</v>
      </c>
    </row>
    <row r="84" spans="1:9" ht="15" customHeight="1" x14ac:dyDescent="0.25">
      <c r="A84" s="17" t="str">
        <f>Investment_Master!A84</f>
        <v>INV-080</v>
      </c>
      <c r="B84" s="17" t="str">
        <f>Investment_Master!B84</f>
        <v>Plant Utility Upgrade – East</v>
      </c>
      <c r="C84" s="17" t="str">
        <f>Investment_Master!AA84</f>
        <v>High</v>
      </c>
      <c r="D84" s="17">
        <f t="shared" si="4"/>
        <v>3</v>
      </c>
      <c r="E84" s="20">
        <f>Investment_Master!S84</f>
        <v>0.10333432586281142</v>
      </c>
      <c r="F84" s="19">
        <f>Investment_Master!Q84</f>
        <v>57141684.736435004</v>
      </c>
      <c r="G84" s="19">
        <f>Investment_Master!J84</f>
        <v>51790000</v>
      </c>
      <c r="H84" s="17" t="str">
        <f t="shared" si="5"/>
        <v>Low Return + High Risk</v>
      </c>
      <c r="I84" s="17" t="str">
        <f>Investment_Master!AB84</f>
        <v>Watch</v>
      </c>
    </row>
    <row r="85" spans="1:9" ht="15" customHeight="1" x14ac:dyDescent="0.25">
      <c r="A85" s="17" t="str">
        <f>Investment_Master!A85</f>
        <v>INV-081</v>
      </c>
      <c r="B85" s="17" t="str">
        <f>Investment_Master!B85</f>
        <v>ERP Cloud Migration – Central</v>
      </c>
      <c r="C85" s="17" t="str">
        <f>Investment_Master!AA85</f>
        <v>Medium</v>
      </c>
      <c r="D85" s="17">
        <f t="shared" si="4"/>
        <v>2</v>
      </c>
      <c r="E85" s="20">
        <f>Investment_Master!S85</f>
        <v>0.19382902451821657</v>
      </c>
      <c r="F85" s="19">
        <f>Investment_Master!Q85</f>
        <v>24903273.451449998</v>
      </c>
      <c r="G85" s="19">
        <f>Investment_Master!J85</f>
        <v>20860000</v>
      </c>
      <c r="H85" s="17" t="str">
        <f t="shared" si="5"/>
        <v>High Return + Low/Medium Risk</v>
      </c>
      <c r="I85" s="17" t="str">
        <f>Investment_Master!AB85</f>
        <v>Watch</v>
      </c>
    </row>
    <row r="86" spans="1:9" ht="15" customHeight="1" x14ac:dyDescent="0.25">
      <c r="A86" s="17" t="str">
        <f>Investment_Master!A86</f>
        <v>INV-082</v>
      </c>
      <c r="B86" s="17" t="str">
        <f>Investment_Master!B86</f>
        <v>Brand Repositioning – South</v>
      </c>
      <c r="C86" s="17" t="str">
        <f>Investment_Master!AA86</f>
        <v>Low</v>
      </c>
      <c r="D86" s="17">
        <f t="shared" si="4"/>
        <v>1</v>
      </c>
      <c r="E86" s="20">
        <f>Investment_Master!S86</f>
        <v>0.213655533419911</v>
      </c>
      <c r="F86" s="19">
        <f>Investment_Master!Q86</f>
        <v>21384610.498858832</v>
      </c>
      <c r="G86" s="19">
        <f>Investment_Master!J86</f>
        <v>17620000</v>
      </c>
      <c r="H86" s="17" t="str">
        <f t="shared" si="5"/>
        <v>High Return + Low/Medium Risk</v>
      </c>
      <c r="I86" s="17" t="str">
        <f>Investment_Master!AB86</f>
        <v>Watch</v>
      </c>
    </row>
    <row r="87" spans="1:9" ht="15" customHeight="1" x14ac:dyDescent="0.25">
      <c r="A87" s="17" t="str">
        <f>Investment_Master!A87</f>
        <v>INV-083</v>
      </c>
      <c r="B87" s="17" t="str">
        <f>Investment_Master!B87</f>
        <v>Premium Product Line – West</v>
      </c>
      <c r="C87" s="17" t="str">
        <f>Investment_Master!AA87</f>
        <v>High</v>
      </c>
      <c r="D87" s="17">
        <f t="shared" si="4"/>
        <v>3</v>
      </c>
      <c r="E87" s="20">
        <f>Investment_Master!S87</f>
        <v>4.9285180036227616E-2</v>
      </c>
      <c r="F87" s="19">
        <f>Investment_Master!Q87</f>
        <v>44007020.450719386</v>
      </c>
      <c r="G87" s="19">
        <f>Investment_Master!J87</f>
        <v>41940000</v>
      </c>
      <c r="H87" s="17" t="str">
        <f t="shared" si="5"/>
        <v>Low Return + High Risk</v>
      </c>
      <c r="I87" s="17" t="str">
        <f>Investment_Master!AB87</f>
        <v>Underperforming</v>
      </c>
    </row>
    <row r="88" spans="1:9" ht="15" customHeight="1" x14ac:dyDescent="0.25">
      <c r="A88" s="17" t="str">
        <f>Investment_Master!A88</f>
        <v>INV-084</v>
      </c>
      <c r="B88" s="17" t="str">
        <f>Investment_Master!B88</f>
        <v>Tier-2 City Expansion – North</v>
      </c>
      <c r="C88" s="17" t="str">
        <f>Investment_Master!AA88</f>
        <v>Medium</v>
      </c>
      <c r="D88" s="17">
        <f t="shared" si="4"/>
        <v>2</v>
      </c>
      <c r="E88" s="20">
        <f>Investment_Master!S88</f>
        <v>0.19186773040400842</v>
      </c>
      <c r="F88" s="19">
        <f>Investment_Master!Q88</f>
        <v>44695039.890150316</v>
      </c>
      <c r="G88" s="19">
        <f>Investment_Master!J88</f>
        <v>37500000</v>
      </c>
      <c r="H88" s="17" t="str">
        <f t="shared" si="5"/>
        <v>High Return + Low/Medium Risk</v>
      </c>
      <c r="I88" s="17" t="str">
        <f>Investment_Master!AB88</f>
        <v>Watch</v>
      </c>
    </row>
    <row r="89" spans="1:9" ht="15" customHeight="1" x14ac:dyDescent="0.25">
      <c r="A89" s="17" t="str">
        <f>Investment_Master!A89</f>
        <v>INV-085</v>
      </c>
      <c r="B89" s="17" t="str">
        <f>Investment_Master!B89</f>
        <v>Automated Packaging Line – East</v>
      </c>
      <c r="C89" s="17" t="str">
        <f>Investment_Master!AA89</f>
        <v>Low</v>
      </c>
      <c r="D89" s="17">
        <f t="shared" si="4"/>
        <v>1</v>
      </c>
      <c r="E89" s="20">
        <f>Investment_Master!S89</f>
        <v>0.18640643841427754</v>
      </c>
      <c r="F89" s="19">
        <f>Investment_Master!Q89</f>
        <v>48856217.133899949</v>
      </c>
      <c r="G89" s="19">
        <f>Investment_Master!J89</f>
        <v>41180000</v>
      </c>
      <c r="H89" s="17" t="str">
        <f t="shared" si="5"/>
        <v>High Return + Low/Medium Risk</v>
      </c>
      <c r="I89" s="17" t="str">
        <f>Investment_Master!AB89</f>
        <v>Watch</v>
      </c>
    </row>
    <row r="90" spans="1:9" ht="15" customHeight="1" x14ac:dyDescent="0.25">
      <c r="A90" s="17" t="str">
        <f>Investment_Master!A90</f>
        <v>INV-086</v>
      </c>
      <c r="B90" s="17" t="str">
        <f>Investment_Master!B90</f>
        <v>RPA Finance Rollout – Central</v>
      </c>
      <c r="C90" s="17" t="str">
        <f>Investment_Master!AA90</f>
        <v>High</v>
      </c>
      <c r="D90" s="17">
        <f t="shared" si="4"/>
        <v>3</v>
      </c>
      <c r="E90" s="20">
        <f>Investment_Master!S90</f>
        <v>0.21801804494185087</v>
      </c>
      <c r="F90" s="19">
        <f>Investment_Master!Q90</f>
        <v>36296937.739267156</v>
      </c>
      <c r="G90" s="19">
        <f>Investment_Master!J90</f>
        <v>29800000</v>
      </c>
      <c r="H90" s="17" t="str">
        <f t="shared" si="5"/>
        <v>High Return + High Risk</v>
      </c>
      <c r="I90" s="17" t="str">
        <f>Investment_Master!AB90</f>
        <v>Watch</v>
      </c>
    </row>
    <row r="91" spans="1:9" ht="15" customHeight="1" x14ac:dyDescent="0.25">
      <c r="A91" s="17" t="str">
        <f>Investment_Master!A91</f>
        <v>INV-087</v>
      </c>
      <c r="B91" s="17" t="str">
        <f>Investment_Master!B91</f>
        <v>Leadership Development – South</v>
      </c>
      <c r="C91" s="17" t="str">
        <f>Investment_Master!AA91</f>
        <v>Medium</v>
      </c>
      <c r="D91" s="17">
        <f t="shared" si="4"/>
        <v>2</v>
      </c>
      <c r="E91" s="20">
        <f>Investment_Master!S91</f>
        <v>-1.140020189797627E-2</v>
      </c>
      <c r="F91" s="19">
        <f>Investment_Master!Q91</f>
        <v>8353668.2939621005</v>
      </c>
      <c r="G91" s="19">
        <f>Investment_Master!J91</f>
        <v>8450000</v>
      </c>
      <c r="H91" s="17" t="str">
        <f t="shared" si="5"/>
        <v>Low Return + Low Risk</v>
      </c>
      <c r="I91" s="17" t="str">
        <f>Investment_Master!AB91</f>
        <v>Underperforming</v>
      </c>
    </row>
    <row r="92" spans="1:9" ht="15" customHeight="1" x14ac:dyDescent="0.25">
      <c r="A92" s="17" t="str">
        <f>Investment_Master!A92</f>
        <v>INV-088</v>
      </c>
      <c r="B92" s="17" t="str">
        <f>Investment_Master!B92</f>
        <v>Plant Utility Upgrade – West</v>
      </c>
      <c r="C92" s="17" t="str">
        <f>Investment_Master!AA92</f>
        <v>Low</v>
      </c>
      <c r="D92" s="17">
        <f t="shared" si="4"/>
        <v>1</v>
      </c>
      <c r="E92" s="20">
        <f>Investment_Master!S92</f>
        <v>0.26940507393960395</v>
      </c>
      <c r="F92" s="19">
        <f>Investment_Master!Q92</f>
        <v>67735454.745417267</v>
      </c>
      <c r="G92" s="19">
        <f>Investment_Master!J92</f>
        <v>53360000</v>
      </c>
      <c r="H92" s="17" t="str">
        <f t="shared" si="5"/>
        <v>High Return + Low/Medium Risk</v>
      </c>
      <c r="I92" s="17" t="str">
        <f>Investment_Master!AB92</f>
        <v>Good</v>
      </c>
    </row>
    <row r="93" spans="1:9" ht="15" customHeight="1" x14ac:dyDescent="0.25">
      <c r="A93" s="17" t="str">
        <f>Investment_Master!A93</f>
        <v>INV-089</v>
      </c>
      <c r="B93" s="17" t="str">
        <f>Investment_Master!B93</f>
        <v>ERP Cloud Migration – North</v>
      </c>
      <c r="C93" s="17" t="str">
        <f>Investment_Master!AA93</f>
        <v>High</v>
      </c>
      <c r="D93" s="17">
        <f t="shared" si="4"/>
        <v>3</v>
      </c>
      <c r="E93" s="20">
        <f>Investment_Master!S93</f>
        <v>0.1639166278939809</v>
      </c>
      <c r="F93" s="19">
        <f>Investment_Master!Q93</f>
        <v>29819544.006643791</v>
      </c>
      <c r="G93" s="19">
        <f>Investment_Master!J93</f>
        <v>25620000</v>
      </c>
      <c r="H93" s="17" t="str">
        <f t="shared" si="5"/>
        <v>High Return + High Risk</v>
      </c>
      <c r="I93" s="17" t="str">
        <f>Investment_Master!AB93</f>
        <v>Watch</v>
      </c>
    </row>
    <row r="94" spans="1:9" ht="15" customHeight="1" x14ac:dyDescent="0.25">
      <c r="A94" s="17" t="str">
        <f>Investment_Master!A94</f>
        <v>INV-090</v>
      </c>
      <c r="B94" s="17" t="str">
        <f>Investment_Master!B94</f>
        <v>Brand Repositioning – East</v>
      </c>
      <c r="C94" s="17" t="str">
        <f>Investment_Master!AA94</f>
        <v>Medium</v>
      </c>
      <c r="D94" s="17">
        <f t="shared" si="4"/>
        <v>2</v>
      </c>
      <c r="E94" s="20">
        <f>Investment_Master!S94</f>
        <v>0.26840103093294371</v>
      </c>
      <c r="F94" s="19">
        <f>Investment_Master!Q94</f>
        <v>26801313.783613101</v>
      </c>
      <c r="G94" s="19">
        <f>Investment_Master!J94</f>
        <v>21130000</v>
      </c>
      <c r="H94" s="17" t="str">
        <f t="shared" si="5"/>
        <v>High Return + Low/Medium Risk</v>
      </c>
      <c r="I94" s="17" t="str">
        <f>Investment_Master!AB94</f>
        <v>Watch</v>
      </c>
    </row>
    <row r="95" spans="1:9" ht="15" customHeight="1" x14ac:dyDescent="0.25">
      <c r="A95" s="17" t="str">
        <f>Investment_Master!A95</f>
        <v>INV-091</v>
      </c>
      <c r="B95" s="17" t="str">
        <f>Investment_Master!B95</f>
        <v>Premium Product Line – Central</v>
      </c>
      <c r="C95" s="17" t="str">
        <f>Investment_Master!AA95</f>
        <v>Low</v>
      </c>
      <c r="D95" s="17">
        <f t="shared" si="4"/>
        <v>1</v>
      </c>
      <c r="E95" s="20">
        <f>Investment_Master!S95</f>
        <v>7.6815703817430317E-2</v>
      </c>
      <c r="F95" s="19">
        <f>Investment_Master!Q95</f>
        <v>18671984.304194242</v>
      </c>
      <c r="G95" s="19">
        <f>Investment_Master!J95</f>
        <v>17340000</v>
      </c>
      <c r="H95" s="17" t="str">
        <f t="shared" si="5"/>
        <v>Low Return + Low Risk</v>
      </c>
      <c r="I95" s="17" t="str">
        <f>Investment_Master!AB95</f>
        <v>Underperforming</v>
      </c>
    </row>
    <row r="96" spans="1:9" ht="15" customHeight="1" x14ac:dyDescent="0.25">
      <c r="A96" s="17" t="str">
        <f>Investment_Master!A96</f>
        <v>INV-092</v>
      </c>
      <c r="B96" s="17" t="str">
        <f>Investment_Master!B96</f>
        <v>Tier-2 City Expansion – South</v>
      </c>
      <c r="C96" s="17" t="str">
        <f>Investment_Master!AA96</f>
        <v>High</v>
      </c>
      <c r="D96" s="17">
        <f t="shared" si="4"/>
        <v>3</v>
      </c>
      <c r="E96" s="20">
        <f>Investment_Master!S96</f>
        <v>8.0488526764316504E-2</v>
      </c>
      <c r="F96" s="19">
        <f>Investment_Master!Q96</f>
        <v>61911992.583595335</v>
      </c>
      <c r="G96" s="19">
        <f>Investment_Master!J96</f>
        <v>57300000</v>
      </c>
      <c r="H96" s="17" t="str">
        <f t="shared" si="5"/>
        <v>Low Return + High Risk</v>
      </c>
      <c r="I96" s="17" t="str">
        <f>Investment_Master!AB96</f>
        <v>Underperforming</v>
      </c>
    </row>
    <row r="97" spans="1:9" ht="15" customHeight="1" x14ac:dyDescent="0.25">
      <c r="A97" s="17" t="str">
        <f>Investment_Master!A97</f>
        <v>INV-093</v>
      </c>
      <c r="B97" s="17" t="str">
        <f>Investment_Master!B97</f>
        <v>Automated Packaging Line – West</v>
      </c>
      <c r="C97" s="17" t="str">
        <f>Investment_Master!AA97</f>
        <v>Medium</v>
      </c>
      <c r="D97" s="17">
        <f t="shared" si="4"/>
        <v>2</v>
      </c>
      <c r="E97" s="20">
        <f>Investment_Master!S97</f>
        <v>0.10204177181559984</v>
      </c>
      <c r="F97" s="19">
        <f>Investment_Master!Q97</f>
        <v>32245742.243324451</v>
      </c>
      <c r="G97" s="19">
        <f>Investment_Master!J97</f>
        <v>29260000</v>
      </c>
      <c r="H97" s="17" t="str">
        <f t="shared" si="5"/>
        <v>Low Return + Low Risk</v>
      </c>
      <c r="I97" s="17" t="str">
        <f>Investment_Master!AB97</f>
        <v>Watch</v>
      </c>
    </row>
    <row r="98" spans="1:9" ht="15" customHeight="1" x14ac:dyDescent="0.25">
      <c r="A98" s="17" t="str">
        <f>Investment_Master!A98</f>
        <v>INV-094</v>
      </c>
      <c r="B98" s="17" t="str">
        <f>Investment_Master!B98</f>
        <v>RPA Finance Rollout – North</v>
      </c>
      <c r="C98" s="17" t="str">
        <f>Investment_Master!AA98</f>
        <v>Low</v>
      </c>
      <c r="D98" s="17">
        <f t="shared" si="4"/>
        <v>1</v>
      </c>
      <c r="E98" s="20">
        <f>Investment_Master!S98</f>
        <v>0.44575724487207546</v>
      </c>
      <c r="F98" s="19">
        <f>Investment_Master!Q98</f>
        <v>28958517.614787672</v>
      </c>
      <c r="G98" s="19">
        <f>Investment_Master!J98</f>
        <v>20030000</v>
      </c>
      <c r="H98" s="17" t="str">
        <f t="shared" si="5"/>
        <v>High Return + Low/Medium Risk</v>
      </c>
      <c r="I98" s="17" t="str">
        <f>Investment_Master!AB98</f>
        <v>Good</v>
      </c>
    </row>
    <row r="99" spans="1:9" ht="15" customHeight="1" x14ac:dyDescent="0.25">
      <c r="A99" s="17" t="str">
        <f>Investment_Master!A99</f>
        <v>INV-095</v>
      </c>
      <c r="B99" s="17" t="str">
        <f>Investment_Master!B99</f>
        <v>Leadership Development – East</v>
      </c>
      <c r="C99" s="17" t="str">
        <f>Investment_Master!AA99</f>
        <v>High</v>
      </c>
      <c r="D99" s="17">
        <f t="shared" si="4"/>
        <v>3</v>
      </c>
      <c r="E99" s="20">
        <f>Investment_Master!S99</f>
        <v>-4.5980220309967429E-2</v>
      </c>
      <c r="F99" s="19">
        <f>Investment_Master!Q99</f>
        <v>3711136.9429942267</v>
      </c>
      <c r="G99" s="19">
        <f>Investment_Master!J99</f>
        <v>3890000</v>
      </c>
      <c r="H99" s="17" t="str">
        <f t="shared" si="5"/>
        <v>Low Return + High Risk</v>
      </c>
      <c r="I99" s="17" t="str">
        <f>Investment_Master!AB99</f>
        <v>Underperforming</v>
      </c>
    </row>
    <row r="100" spans="1:9" ht="15" customHeight="1" x14ac:dyDescent="0.25">
      <c r="A100" s="17" t="str">
        <f>Investment_Master!A100</f>
        <v>INV-096</v>
      </c>
      <c r="B100" s="17" t="str">
        <f>Investment_Master!B100</f>
        <v>Plant Utility Upgrade – Central</v>
      </c>
      <c r="C100" s="17" t="str">
        <f>Investment_Master!AA100</f>
        <v>Medium</v>
      </c>
      <c r="D100" s="17">
        <f t="shared" si="4"/>
        <v>2</v>
      </c>
      <c r="E100" s="20">
        <f>Investment_Master!S100</f>
        <v>5.4713588628050723E-2</v>
      </c>
      <c r="F100" s="19">
        <f>Investment_Master!Q100</f>
        <v>40785774.472246721</v>
      </c>
      <c r="G100" s="19">
        <f>Investment_Master!J100</f>
        <v>38670000</v>
      </c>
      <c r="H100" s="17" t="str">
        <f t="shared" si="5"/>
        <v>Low Return + Low Risk</v>
      </c>
      <c r="I100" s="17" t="str">
        <f>Investment_Master!AB100</f>
        <v>Watch</v>
      </c>
    </row>
    <row r="101" spans="1:9" ht="15" customHeight="1" x14ac:dyDescent="0.25">
      <c r="A101" s="17" t="str">
        <f>Investment_Master!A101</f>
        <v>INV-097</v>
      </c>
      <c r="B101" s="17" t="str">
        <f>Investment_Master!B101</f>
        <v>ERP Cloud Migration – South</v>
      </c>
      <c r="C101" s="17" t="str">
        <f>Investment_Master!AA101</f>
        <v>Low</v>
      </c>
      <c r="D101" s="17">
        <f t="shared" ref="D101:D132" si="6">IF(C101="Low",1,IF(C101="Medium",2,3))</f>
        <v>1</v>
      </c>
      <c r="E101" s="20">
        <f>Investment_Master!S101</f>
        <v>0.28537394471503391</v>
      </c>
      <c r="F101" s="19">
        <f>Investment_Master!Q101</f>
        <v>43715567.859758303</v>
      </c>
      <c r="G101" s="19">
        <f>Investment_Master!J101</f>
        <v>34010000</v>
      </c>
      <c r="H101" s="17" t="str">
        <f t="shared" ref="H101:H132" si="7">IF(AND(E101&gt;=AVERAGE($E$5:$E$154),D101&lt;=2),"High Return + Low/Medium Risk",IF(AND(E101&gt;=AVERAGE($E$5:$E$154),D101&gt;2),"High Return + High Risk",IF(D101&lt;=2,"Low Return + Low Risk","Low Return + High Risk")))</f>
        <v>High Return + Low/Medium Risk</v>
      </c>
      <c r="I101" s="17" t="str">
        <f>Investment_Master!AB101</f>
        <v>Good</v>
      </c>
    </row>
    <row r="102" spans="1:9" ht="15" customHeight="1" x14ac:dyDescent="0.25">
      <c r="A102" s="17" t="str">
        <f>Investment_Master!A102</f>
        <v>INV-098</v>
      </c>
      <c r="B102" s="17" t="str">
        <f>Investment_Master!B102</f>
        <v>Brand Repositioning – West</v>
      </c>
      <c r="C102" s="17" t="str">
        <f>Investment_Master!AA102</f>
        <v>High</v>
      </c>
      <c r="D102" s="17">
        <f t="shared" si="6"/>
        <v>3</v>
      </c>
      <c r="E102" s="20">
        <f>Investment_Master!S102</f>
        <v>0.12595014089173551</v>
      </c>
      <c r="F102" s="19">
        <f>Investment_Master!Q102</f>
        <v>15920934.99220914</v>
      </c>
      <c r="G102" s="19">
        <f>Investment_Master!J102</f>
        <v>14140000</v>
      </c>
      <c r="H102" s="17" t="str">
        <f t="shared" si="7"/>
        <v>Low Return + High Risk</v>
      </c>
      <c r="I102" s="17" t="str">
        <f>Investment_Master!AB102</f>
        <v>Underperforming</v>
      </c>
    </row>
    <row r="103" spans="1:9" ht="15" customHeight="1" x14ac:dyDescent="0.25">
      <c r="A103" s="17" t="str">
        <f>Investment_Master!A103</f>
        <v>INV-099</v>
      </c>
      <c r="B103" s="17" t="str">
        <f>Investment_Master!B103</f>
        <v>Premium Product Line – North</v>
      </c>
      <c r="C103" s="17" t="str">
        <f>Investment_Master!AA103</f>
        <v>Medium</v>
      </c>
      <c r="D103" s="17">
        <f t="shared" si="6"/>
        <v>2</v>
      </c>
      <c r="E103" s="20">
        <f>Investment_Master!S103</f>
        <v>5.8332881243436253E-2</v>
      </c>
      <c r="F103" s="19">
        <f>Investment_Master!Q103</f>
        <v>16086659.794900231</v>
      </c>
      <c r="G103" s="19">
        <f>Investment_Master!J103</f>
        <v>15200000</v>
      </c>
      <c r="H103" s="17" t="str">
        <f t="shared" si="7"/>
        <v>Low Return + Low Risk</v>
      </c>
      <c r="I103" s="17" t="str">
        <f>Investment_Master!AB103</f>
        <v>Underperforming</v>
      </c>
    </row>
    <row r="104" spans="1:9" ht="15" customHeight="1" x14ac:dyDescent="0.25">
      <c r="A104" s="17" t="str">
        <f>Investment_Master!A104</f>
        <v>INV-100</v>
      </c>
      <c r="B104" s="17" t="str">
        <f>Investment_Master!B104</f>
        <v>Tier-2 City Expansion – East</v>
      </c>
      <c r="C104" s="17" t="str">
        <f>Investment_Master!AA104</f>
        <v>Low</v>
      </c>
      <c r="D104" s="17">
        <f t="shared" si="6"/>
        <v>1</v>
      </c>
      <c r="E104" s="20">
        <f>Investment_Master!S104</f>
        <v>-1.7373702485281091E-2</v>
      </c>
      <c r="F104" s="19">
        <f>Investment_Master!Q104</f>
        <v>20546715.881032772</v>
      </c>
      <c r="G104" s="19">
        <f>Investment_Master!J104</f>
        <v>20910000</v>
      </c>
      <c r="H104" s="17" t="str">
        <f t="shared" si="7"/>
        <v>Low Return + Low Risk</v>
      </c>
      <c r="I104" s="17" t="str">
        <f>Investment_Master!AB104</f>
        <v>Underperforming</v>
      </c>
    </row>
    <row r="105" spans="1:9" ht="15" customHeight="1" x14ac:dyDescent="0.25">
      <c r="A105" s="17" t="str">
        <f>Investment_Master!A105</f>
        <v>INV-101</v>
      </c>
      <c r="B105" s="17" t="str">
        <f>Investment_Master!B105</f>
        <v>Automated Packaging Line – Central</v>
      </c>
      <c r="C105" s="17" t="str">
        <f>Investment_Master!AA105</f>
        <v>High</v>
      </c>
      <c r="D105" s="17">
        <f t="shared" si="6"/>
        <v>3</v>
      </c>
      <c r="E105" s="20">
        <f>Investment_Master!S105</f>
        <v>0.23570228906668914</v>
      </c>
      <c r="F105" s="19">
        <f>Investment_Master!Q105</f>
        <v>18214251.740842998</v>
      </c>
      <c r="G105" s="19">
        <f>Investment_Master!J105</f>
        <v>14740000</v>
      </c>
      <c r="H105" s="17" t="str">
        <f t="shared" si="7"/>
        <v>High Return + High Risk</v>
      </c>
      <c r="I105" s="17" t="str">
        <f>Investment_Master!AB105</f>
        <v>Watch</v>
      </c>
    </row>
    <row r="106" spans="1:9" ht="15" customHeight="1" x14ac:dyDescent="0.25">
      <c r="A106" s="17" t="str">
        <f>Investment_Master!A106</f>
        <v>INV-102</v>
      </c>
      <c r="B106" s="17" t="str">
        <f>Investment_Master!B106</f>
        <v>RPA Finance Rollout – South</v>
      </c>
      <c r="C106" s="17" t="str">
        <f>Investment_Master!AA106</f>
        <v>Medium</v>
      </c>
      <c r="D106" s="17">
        <f t="shared" si="6"/>
        <v>2</v>
      </c>
      <c r="E106" s="20">
        <f>Investment_Master!S106</f>
        <v>0.31206338386321308</v>
      </c>
      <c r="F106" s="19">
        <f>Investment_Master!Q106</f>
        <v>10273456.295648959</v>
      </c>
      <c r="G106" s="19">
        <f>Investment_Master!J106</f>
        <v>7830000</v>
      </c>
      <c r="H106" s="17" t="str">
        <f t="shared" si="7"/>
        <v>High Return + Low/Medium Risk</v>
      </c>
      <c r="I106" s="17" t="str">
        <f>Investment_Master!AB106</f>
        <v>Watch</v>
      </c>
    </row>
    <row r="107" spans="1:9" ht="15" customHeight="1" x14ac:dyDescent="0.25">
      <c r="A107" s="17" t="str">
        <f>Investment_Master!A107</f>
        <v>INV-103</v>
      </c>
      <c r="B107" s="17" t="str">
        <f>Investment_Master!B107</f>
        <v>Leadership Development – West</v>
      </c>
      <c r="C107" s="17" t="str">
        <f>Investment_Master!AA107</f>
        <v>Low</v>
      </c>
      <c r="D107" s="17">
        <f t="shared" si="6"/>
        <v>1</v>
      </c>
      <c r="E107" s="20">
        <f>Investment_Master!S107</f>
        <v>5.4344064025292668E-2</v>
      </c>
      <c r="F107" s="19">
        <f>Investment_Master!Q107</f>
        <v>3173575.6327161309</v>
      </c>
      <c r="G107" s="19">
        <f>Investment_Master!J107</f>
        <v>3010000</v>
      </c>
      <c r="H107" s="17" t="str">
        <f t="shared" si="7"/>
        <v>Low Return + Low Risk</v>
      </c>
      <c r="I107" s="17" t="str">
        <f>Investment_Master!AB107</f>
        <v>Underperforming</v>
      </c>
    </row>
    <row r="108" spans="1:9" ht="15" customHeight="1" x14ac:dyDescent="0.25">
      <c r="A108" s="17" t="str">
        <f>Investment_Master!A108</f>
        <v>INV-104</v>
      </c>
      <c r="B108" s="17" t="str">
        <f>Investment_Master!B108</f>
        <v>Plant Utility Upgrade – North</v>
      </c>
      <c r="C108" s="17" t="str">
        <f>Investment_Master!AA108</f>
        <v>High</v>
      </c>
      <c r="D108" s="17">
        <f t="shared" si="6"/>
        <v>3</v>
      </c>
      <c r="E108" s="20">
        <f>Investment_Master!S108</f>
        <v>0.12843298488395485</v>
      </c>
      <c r="F108" s="19">
        <f>Investment_Master!Q108</f>
        <v>48443628.041068181</v>
      </c>
      <c r="G108" s="19">
        <f>Investment_Master!J108</f>
        <v>42930000</v>
      </c>
      <c r="H108" s="17" t="str">
        <f t="shared" si="7"/>
        <v>Low Return + High Risk</v>
      </c>
      <c r="I108" s="17" t="str">
        <f>Investment_Master!AB108</f>
        <v>Watch</v>
      </c>
    </row>
    <row r="109" spans="1:9" ht="15" customHeight="1" x14ac:dyDescent="0.25">
      <c r="A109" s="17" t="str">
        <f>Investment_Master!A109</f>
        <v>INV-105</v>
      </c>
      <c r="B109" s="17" t="str">
        <f>Investment_Master!B109</f>
        <v>ERP Cloud Migration – East</v>
      </c>
      <c r="C109" s="17" t="str">
        <f>Investment_Master!AA109</f>
        <v>Medium</v>
      </c>
      <c r="D109" s="17">
        <f t="shared" si="6"/>
        <v>2</v>
      </c>
      <c r="E109" s="20">
        <f>Investment_Master!S109</f>
        <v>0.15555690015774115</v>
      </c>
      <c r="F109" s="19">
        <f>Investment_Master!Q109</f>
        <v>40016935.452462576</v>
      </c>
      <c r="G109" s="19">
        <f>Investment_Master!J109</f>
        <v>34630000</v>
      </c>
      <c r="H109" s="17" t="str">
        <f t="shared" si="7"/>
        <v>High Return + Low/Medium Risk</v>
      </c>
      <c r="I109" s="17" t="str">
        <f>Investment_Master!AB109</f>
        <v>Watch</v>
      </c>
    </row>
    <row r="110" spans="1:9" ht="15" customHeight="1" x14ac:dyDescent="0.25">
      <c r="A110" s="17" t="str">
        <f>Investment_Master!A110</f>
        <v>INV-106</v>
      </c>
      <c r="B110" s="17" t="str">
        <f>Investment_Master!B110</f>
        <v>Brand Repositioning – Central</v>
      </c>
      <c r="C110" s="17" t="str">
        <f>Investment_Master!AA110</f>
        <v>Low</v>
      </c>
      <c r="D110" s="17">
        <f t="shared" si="6"/>
        <v>1</v>
      </c>
      <c r="E110" s="20">
        <f>Investment_Master!S110</f>
        <v>0.14088085360850838</v>
      </c>
      <c r="F110" s="19">
        <f>Investment_Master!Q110</f>
        <v>9925663.426394023</v>
      </c>
      <c r="G110" s="19">
        <f>Investment_Master!J110</f>
        <v>8700000</v>
      </c>
      <c r="H110" s="17" t="str">
        <f t="shared" si="7"/>
        <v>High Return + Low/Medium Risk</v>
      </c>
      <c r="I110" s="17" t="str">
        <f>Investment_Master!AB110</f>
        <v>Underperforming</v>
      </c>
    </row>
    <row r="111" spans="1:9" ht="15" customHeight="1" x14ac:dyDescent="0.25">
      <c r="A111" s="17" t="str">
        <f>Investment_Master!A111</f>
        <v>INV-107</v>
      </c>
      <c r="B111" s="17" t="str">
        <f>Investment_Master!B111</f>
        <v>Premium Product Line – South</v>
      </c>
      <c r="C111" s="17" t="str">
        <f>Investment_Master!AA111</f>
        <v>High</v>
      </c>
      <c r="D111" s="17">
        <f t="shared" si="6"/>
        <v>3</v>
      </c>
      <c r="E111" s="20">
        <f>Investment_Master!S111</f>
        <v>2.3893972921018032E-2</v>
      </c>
      <c r="F111" s="19">
        <f>Investment_Master!Q111</f>
        <v>24962535.05981442</v>
      </c>
      <c r="G111" s="19">
        <f>Investment_Master!J111</f>
        <v>24380000</v>
      </c>
      <c r="H111" s="17" t="str">
        <f t="shared" si="7"/>
        <v>Low Return + High Risk</v>
      </c>
      <c r="I111" s="17" t="str">
        <f>Investment_Master!AB111</f>
        <v>Underperforming</v>
      </c>
    </row>
    <row r="112" spans="1:9" ht="15" customHeight="1" x14ac:dyDescent="0.25">
      <c r="A112" s="17" t="str">
        <f>Investment_Master!A112</f>
        <v>INV-108</v>
      </c>
      <c r="B112" s="17" t="str">
        <f>Investment_Master!B112</f>
        <v>Tier-2 City Expansion – West</v>
      </c>
      <c r="C112" s="17" t="str">
        <f>Investment_Master!AA112</f>
        <v>Medium</v>
      </c>
      <c r="D112" s="17">
        <f t="shared" si="6"/>
        <v>2</v>
      </c>
      <c r="E112" s="20">
        <f>Investment_Master!S112</f>
        <v>0.12856221018510014</v>
      </c>
      <c r="F112" s="19">
        <f>Investment_Master!Q112</f>
        <v>71607272.236244604</v>
      </c>
      <c r="G112" s="19">
        <f>Investment_Master!J112</f>
        <v>63450000</v>
      </c>
      <c r="H112" s="17" t="str">
        <f t="shared" si="7"/>
        <v>Low Return + Low Risk</v>
      </c>
      <c r="I112" s="17" t="str">
        <f>Investment_Master!AB112</f>
        <v>Watch</v>
      </c>
    </row>
    <row r="113" spans="1:9" ht="15" customHeight="1" x14ac:dyDescent="0.25">
      <c r="A113" s="17" t="str">
        <f>Investment_Master!A113</f>
        <v>INV-109</v>
      </c>
      <c r="B113" s="17" t="str">
        <f>Investment_Master!B113</f>
        <v>Automated Packaging Line – North</v>
      </c>
      <c r="C113" s="17" t="str">
        <f>Investment_Master!AA113</f>
        <v>Low</v>
      </c>
      <c r="D113" s="17">
        <f t="shared" si="6"/>
        <v>1</v>
      </c>
      <c r="E113" s="20">
        <f>Investment_Master!S113</f>
        <v>0.13844489330352647</v>
      </c>
      <c r="F113" s="19">
        <f>Investment_Master!Q113</f>
        <v>35394251.732806638</v>
      </c>
      <c r="G113" s="19">
        <f>Investment_Master!J113</f>
        <v>31090000</v>
      </c>
      <c r="H113" s="17" t="str">
        <f t="shared" si="7"/>
        <v>High Return + Low/Medium Risk</v>
      </c>
      <c r="I113" s="17" t="str">
        <f>Investment_Master!AB113</f>
        <v>Watch</v>
      </c>
    </row>
    <row r="114" spans="1:9" ht="15" customHeight="1" x14ac:dyDescent="0.25">
      <c r="A114" s="17" t="str">
        <f>Investment_Master!A114</f>
        <v>INV-110</v>
      </c>
      <c r="B114" s="17" t="str">
        <f>Investment_Master!B114</f>
        <v>RPA Finance Rollout – East</v>
      </c>
      <c r="C114" s="17" t="str">
        <f>Investment_Master!AA114</f>
        <v>High</v>
      </c>
      <c r="D114" s="17">
        <f t="shared" si="6"/>
        <v>3</v>
      </c>
      <c r="E114" s="20">
        <f>Investment_Master!S114</f>
        <v>0.25339000010004892</v>
      </c>
      <c r="F114" s="19">
        <f>Investment_Master!Q114</f>
        <v>36273106.602895416</v>
      </c>
      <c r="G114" s="19">
        <f>Investment_Master!J114</f>
        <v>28940000</v>
      </c>
      <c r="H114" s="17" t="str">
        <f t="shared" si="7"/>
        <v>High Return + High Risk</v>
      </c>
      <c r="I114" s="17" t="str">
        <f>Investment_Master!AB114</f>
        <v>Watch</v>
      </c>
    </row>
    <row r="115" spans="1:9" ht="15" customHeight="1" x14ac:dyDescent="0.25">
      <c r="A115" s="17" t="str">
        <f>Investment_Master!A115</f>
        <v>INV-111</v>
      </c>
      <c r="B115" s="17" t="str">
        <f>Investment_Master!B115</f>
        <v>Leadership Development – Central</v>
      </c>
      <c r="C115" s="17" t="str">
        <f>Investment_Master!AA115</f>
        <v>Medium</v>
      </c>
      <c r="D115" s="17">
        <f t="shared" si="6"/>
        <v>2</v>
      </c>
      <c r="E115" s="20">
        <f>Investment_Master!S115</f>
        <v>-0.1010643962629646</v>
      </c>
      <c r="F115" s="19">
        <f>Investment_Master!Q115</f>
        <v>5222815.8577121757</v>
      </c>
      <c r="G115" s="19">
        <f>Investment_Master!J115</f>
        <v>5810000</v>
      </c>
      <c r="H115" s="17" t="str">
        <f t="shared" si="7"/>
        <v>Low Return + Low Risk</v>
      </c>
      <c r="I115" s="17" t="str">
        <f>Investment_Master!AB115</f>
        <v>Underperforming</v>
      </c>
    </row>
    <row r="116" spans="1:9" ht="15" customHeight="1" x14ac:dyDescent="0.25">
      <c r="A116" s="17" t="str">
        <f>Investment_Master!A116</f>
        <v>INV-112</v>
      </c>
      <c r="B116" s="17" t="str">
        <f>Investment_Master!B116</f>
        <v>Plant Utility Upgrade – South</v>
      </c>
      <c r="C116" s="17" t="str">
        <f>Investment_Master!AA116</f>
        <v>Low</v>
      </c>
      <c r="D116" s="17">
        <f t="shared" si="6"/>
        <v>1</v>
      </c>
      <c r="E116" s="20">
        <f>Investment_Master!S116</f>
        <v>5.374570044300165E-2</v>
      </c>
      <c r="F116" s="19">
        <f>Investment_Master!Q116</f>
        <v>59926517.984193504</v>
      </c>
      <c r="G116" s="19">
        <f>Investment_Master!J116</f>
        <v>56870000</v>
      </c>
      <c r="H116" s="17" t="str">
        <f t="shared" si="7"/>
        <v>Low Return + Low Risk</v>
      </c>
      <c r="I116" s="17" t="str">
        <f>Investment_Master!AB116</f>
        <v>Watch</v>
      </c>
    </row>
    <row r="117" spans="1:9" ht="15" customHeight="1" x14ac:dyDescent="0.25">
      <c r="A117" s="17" t="str">
        <f>Investment_Master!A117</f>
        <v>INV-113</v>
      </c>
      <c r="B117" s="17" t="str">
        <f>Investment_Master!B117</f>
        <v>ERP Cloud Migration – West</v>
      </c>
      <c r="C117" s="17" t="str">
        <f>Investment_Master!AA117</f>
        <v>High</v>
      </c>
      <c r="D117" s="17">
        <f t="shared" si="6"/>
        <v>3</v>
      </c>
      <c r="E117" s="20">
        <f>Investment_Master!S117</f>
        <v>0.2558908941704196</v>
      </c>
      <c r="F117" s="19">
        <f>Investment_Master!Q117</f>
        <v>10775543.8719822</v>
      </c>
      <c r="G117" s="19">
        <f>Investment_Master!J117</f>
        <v>8580000</v>
      </c>
      <c r="H117" s="17" t="str">
        <f t="shared" si="7"/>
        <v>High Return + High Risk</v>
      </c>
      <c r="I117" s="17" t="str">
        <f>Investment_Master!AB117</f>
        <v>Watch</v>
      </c>
    </row>
    <row r="118" spans="1:9" ht="15" customHeight="1" x14ac:dyDescent="0.25">
      <c r="A118" s="17" t="str">
        <f>Investment_Master!A118</f>
        <v>INV-114</v>
      </c>
      <c r="B118" s="17" t="str">
        <f>Investment_Master!B118</f>
        <v>Brand Repositioning – North</v>
      </c>
      <c r="C118" s="17" t="str">
        <f>Investment_Master!AA118</f>
        <v>Medium</v>
      </c>
      <c r="D118" s="17">
        <f t="shared" si="6"/>
        <v>2</v>
      </c>
      <c r="E118" s="20">
        <f>Investment_Master!S118</f>
        <v>0.2435981657026208</v>
      </c>
      <c r="F118" s="19">
        <f>Investment_Master!Q118</f>
        <v>13443296.171245331</v>
      </c>
      <c r="G118" s="19">
        <f>Investment_Master!J118</f>
        <v>10810000</v>
      </c>
      <c r="H118" s="17" t="str">
        <f t="shared" si="7"/>
        <v>High Return + Low/Medium Risk</v>
      </c>
      <c r="I118" s="17" t="str">
        <f>Investment_Master!AB118</f>
        <v>Watch</v>
      </c>
    </row>
    <row r="119" spans="1:9" ht="15" customHeight="1" x14ac:dyDescent="0.25">
      <c r="A119" s="17" t="str">
        <f>Investment_Master!A119</f>
        <v>INV-115</v>
      </c>
      <c r="B119" s="17" t="str">
        <f>Investment_Master!B119</f>
        <v>Premium Product Line – East</v>
      </c>
      <c r="C119" s="17" t="str">
        <f>Investment_Master!AA119</f>
        <v>Low</v>
      </c>
      <c r="D119" s="17">
        <f t="shared" si="6"/>
        <v>1</v>
      </c>
      <c r="E119" s="20">
        <f>Investment_Master!S119</f>
        <v>0.15233984277628887</v>
      </c>
      <c r="F119" s="19">
        <f>Investment_Master!Q119</f>
        <v>38211589.186461739</v>
      </c>
      <c r="G119" s="19">
        <f>Investment_Master!J119</f>
        <v>33160000</v>
      </c>
      <c r="H119" s="17" t="str">
        <f t="shared" si="7"/>
        <v>High Return + Low/Medium Risk</v>
      </c>
      <c r="I119" s="17" t="str">
        <f>Investment_Master!AB119</f>
        <v>Underperforming</v>
      </c>
    </row>
    <row r="120" spans="1:9" ht="15" customHeight="1" x14ac:dyDescent="0.25">
      <c r="A120" s="17" t="str">
        <f>Investment_Master!A120</f>
        <v>INV-116</v>
      </c>
      <c r="B120" s="17" t="str">
        <f>Investment_Master!B120</f>
        <v>Tier-2 City Expansion – Central</v>
      </c>
      <c r="C120" s="17" t="str">
        <f>Investment_Master!AA120</f>
        <v>High</v>
      </c>
      <c r="D120" s="17">
        <f t="shared" si="6"/>
        <v>3</v>
      </c>
      <c r="E120" s="20">
        <f>Investment_Master!S120</f>
        <v>0.1283503681175473</v>
      </c>
      <c r="F120" s="19">
        <f>Investment_Master!Q120</f>
        <v>43306087.128351465</v>
      </c>
      <c r="G120" s="19">
        <f>Investment_Master!J120</f>
        <v>38380000</v>
      </c>
      <c r="H120" s="17" t="str">
        <f t="shared" si="7"/>
        <v>Low Return + High Risk</v>
      </c>
      <c r="I120" s="17" t="str">
        <f>Investment_Master!AB120</f>
        <v>Watch</v>
      </c>
    </row>
    <row r="121" spans="1:9" ht="15" customHeight="1" x14ac:dyDescent="0.25">
      <c r="A121" s="17" t="str">
        <f>Investment_Master!A121</f>
        <v>INV-117</v>
      </c>
      <c r="B121" s="17" t="str">
        <f>Investment_Master!B121</f>
        <v>Automated Packaging Line – South</v>
      </c>
      <c r="C121" s="17" t="str">
        <f>Investment_Master!AA121</f>
        <v>Medium</v>
      </c>
      <c r="D121" s="17">
        <f t="shared" si="6"/>
        <v>2</v>
      </c>
      <c r="E121" s="20">
        <f>Investment_Master!S121</f>
        <v>0.20047384630128892</v>
      </c>
      <c r="F121" s="19">
        <f>Investment_Master!Q121</f>
        <v>29591680.311326772</v>
      </c>
      <c r="G121" s="19">
        <f>Investment_Master!J121</f>
        <v>24650000</v>
      </c>
      <c r="H121" s="17" t="str">
        <f t="shared" si="7"/>
        <v>High Return + Low/Medium Risk</v>
      </c>
      <c r="I121" s="17" t="str">
        <f>Investment_Master!AB121</f>
        <v>Watch</v>
      </c>
    </row>
    <row r="122" spans="1:9" ht="15" customHeight="1" x14ac:dyDescent="0.25">
      <c r="A122" s="17" t="str">
        <f>Investment_Master!A122</f>
        <v>INV-118</v>
      </c>
      <c r="B122" s="17" t="str">
        <f>Investment_Master!B122</f>
        <v>RPA Finance Rollout – West</v>
      </c>
      <c r="C122" s="17" t="str">
        <f>Investment_Master!AA122</f>
        <v>Low</v>
      </c>
      <c r="D122" s="17">
        <f t="shared" si="6"/>
        <v>1</v>
      </c>
      <c r="E122" s="20">
        <f>Investment_Master!S122</f>
        <v>0.20828298451899124</v>
      </c>
      <c r="F122" s="19">
        <f>Investment_Master!Q122</f>
        <v>29143785.586598068</v>
      </c>
      <c r="G122" s="19">
        <f>Investment_Master!J122</f>
        <v>24120000</v>
      </c>
      <c r="H122" s="17" t="str">
        <f t="shared" si="7"/>
        <v>High Return + Low/Medium Risk</v>
      </c>
      <c r="I122" s="17" t="str">
        <f>Investment_Master!AB122</f>
        <v>Watch</v>
      </c>
    </row>
    <row r="123" spans="1:9" ht="15" customHeight="1" x14ac:dyDescent="0.25">
      <c r="A123" s="17" t="str">
        <f>Investment_Master!A123</f>
        <v>INV-119</v>
      </c>
      <c r="B123" s="17" t="str">
        <f>Investment_Master!B123</f>
        <v>Leadership Development – North</v>
      </c>
      <c r="C123" s="17" t="str">
        <f>Investment_Master!AA123</f>
        <v>High</v>
      </c>
      <c r="D123" s="17">
        <f t="shared" si="6"/>
        <v>3</v>
      </c>
      <c r="E123" s="20">
        <f>Investment_Master!S123</f>
        <v>-7.9991255952707452E-2</v>
      </c>
      <c r="F123" s="19">
        <f>Investment_Master!Q123</f>
        <v>5713254.3005336868</v>
      </c>
      <c r="G123" s="19">
        <f>Investment_Master!J123</f>
        <v>6210000</v>
      </c>
      <c r="H123" s="17" t="str">
        <f t="shared" si="7"/>
        <v>Low Return + High Risk</v>
      </c>
      <c r="I123" s="17" t="str">
        <f>Investment_Master!AB123</f>
        <v>Underperforming</v>
      </c>
    </row>
    <row r="124" spans="1:9" ht="15" customHeight="1" x14ac:dyDescent="0.25">
      <c r="A124" s="17" t="str">
        <f>Investment_Master!A124</f>
        <v>INV-120</v>
      </c>
      <c r="B124" s="17" t="str">
        <f>Investment_Master!B124</f>
        <v>Plant Utility Upgrade – East</v>
      </c>
      <c r="C124" s="17" t="str">
        <f>Investment_Master!AA124</f>
        <v>Medium</v>
      </c>
      <c r="D124" s="17">
        <f t="shared" si="6"/>
        <v>2</v>
      </c>
      <c r="E124" s="20">
        <f>Investment_Master!S124</f>
        <v>6.3249870744880823E-2</v>
      </c>
      <c r="F124" s="19">
        <f>Investment_Master!Q124</f>
        <v>35980375.626006767</v>
      </c>
      <c r="G124" s="19">
        <f>Investment_Master!J124</f>
        <v>33840000</v>
      </c>
      <c r="H124" s="17" t="str">
        <f t="shared" si="7"/>
        <v>Low Return + Low Risk</v>
      </c>
      <c r="I124" s="17" t="str">
        <f>Investment_Master!AB124</f>
        <v>Watch</v>
      </c>
    </row>
    <row r="125" spans="1:9" ht="15" customHeight="1" x14ac:dyDescent="0.25">
      <c r="A125" s="17" t="str">
        <f>Investment_Master!A125</f>
        <v>INV-121</v>
      </c>
      <c r="B125" s="17" t="str">
        <f>Investment_Master!B125</f>
        <v>ERP Cloud Migration – Central</v>
      </c>
      <c r="C125" s="17" t="str">
        <f>Investment_Master!AA125</f>
        <v>Low</v>
      </c>
      <c r="D125" s="17">
        <f t="shared" si="6"/>
        <v>1</v>
      </c>
      <c r="E125" s="20">
        <f>Investment_Master!S125</f>
        <v>0.1458967420481688</v>
      </c>
      <c r="F125" s="19">
        <f>Investment_Master!Q125</f>
        <v>32577844.376429439</v>
      </c>
      <c r="G125" s="19">
        <f>Investment_Master!J125</f>
        <v>28430000</v>
      </c>
      <c r="H125" s="17" t="str">
        <f t="shared" si="7"/>
        <v>High Return + Low/Medium Risk</v>
      </c>
      <c r="I125" s="17" t="str">
        <f>Investment_Master!AB125</f>
        <v>Watch</v>
      </c>
    </row>
    <row r="126" spans="1:9" ht="15" customHeight="1" x14ac:dyDescent="0.25">
      <c r="A126" s="17" t="str">
        <f>Investment_Master!A126</f>
        <v>INV-122</v>
      </c>
      <c r="B126" s="17" t="str">
        <f>Investment_Master!B126</f>
        <v>Brand Repositioning – South</v>
      </c>
      <c r="C126" s="17" t="str">
        <f>Investment_Master!AA126</f>
        <v>High</v>
      </c>
      <c r="D126" s="17">
        <f t="shared" si="6"/>
        <v>3</v>
      </c>
      <c r="E126" s="20">
        <f>Investment_Master!S126</f>
        <v>0.2222791839566923</v>
      </c>
      <c r="F126" s="19">
        <f>Investment_Master!Q126</f>
        <v>16402986.64869881</v>
      </c>
      <c r="G126" s="19">
        <f>Investment_Master!J126</f>
        <v>13420000</v>
      </c>
      <c r="H126" s="17" t="str">
        <f t="shared" si="7"/>
        <v>High Return + High Risk</v>
      </c>
      <c r="I126" s="17" t="str">
        <f>Investment_Master!AB126</f>
        <v>Watch</v>
      </c>
    </row>
    <row r="127" spans="1:9" ht="15" customHeight="1" x14ac:dyDescent="0.25">
      <c r="A127" s="17" t="str">
        <f>Investment_Master!A127</f>
        <v>INV-123</v>
      </c>
      <c r="B127" s="17" t="str">
        <f>Investment_Master!B127</f>
        <v>Premium Product Line – West</v>
      </c>
      <c r="C127" s="17" t="str">
        <f>Investment_Master!AA127</f>
        <v>Medium</v>
      </c>
      <c r="D127" s="17">
        <f t="shared" si="6"/>
        <v>2</v>
      </c>
      <c r="E127" s="20">
        <f>Investment_Master!S127</f>
        <v>4.398127845598343E-2</v>
      </c>
      <c r="F127" s="19">
        <f>Investment_Master!Q127</f>
        <v>41665292.823178299</v>
      </c>
      <c r="G127" s="19">
        <f>Investment_Master!J127</f>
        <v>39910000</v>
      </c>
      <c r="H127" s="17" t="str">
        <f t="shared" si="7"/>
        <v>Low Return + Low Risk</v>
      </c>
      <c r="I127" s="17" t="str">
        <f>Investment_Master!AB127</f>
        <v>Underperforming</v>
      </c>
    </row>
    <row r="128" spans="1:9" ht="15" customHeight="1" x14ac:dyDescent="0.25">
      <c r="A128" s="17" t="str">
        <f>Investment_Master!A128</f>
        <v>INV-124</v>
      </c>
      <c r="B128" s="17" t="str">
        <f>Investment_Master!B128</f>
        <v>Tier-2 City Expansion – North</v>
      </c>
      <c r="C128" s="17" t="str">
        <f>Investment_Master!AA128</f>
        <v>Low</v>
      </c>
      <c r="D128" s="17">
        <f t="shared" si="6"/>
        <v>1</v>
      </c>
      <c r="E128" s="20">
        <f>Investment_Master!S128</f>
        <v>9.3275992333853308E-2</v>
      </c>
      <c r="F128" s="19">
        <f>Investment_Master!Q128</f>
        <v>59780331.260815099</v>
      </c>
      <c r="G128" s="19">
        <f>Investment_Master!J128</f>
        <v>54680000</v>
      </c>
      <c r="H128" s="17" t="str">
        <f t="shared" si="7"/>
        <v>Low Return + Low Risk</v>
      </c>
      <c r="I128" s="17" t="str">
        <f>Investment_Master!AB128</f>
        <v>Watch</v>
      </c>
    </row>
    <row r="129" spans="1:9" ht="15" customHeight="1" x14ac:dyDescent="0.25">
      <c r="A129" s="17" t="str">
        <f>Investment_Master!A129</f>
        <v>INV-125</v>
      </c>
      <c r="B129" s="17" t="str">
        <f>Investment_Master!B129</f>
        <v>Automated Packaging Line – East</v>
      </c>
      <c r="C129" s="17" t="str">
        <f>Investment_Master!AA129</f>
        <v>High</v>
      </c>
      <c r="D129" s="17">
        <f t="shared" si="6"/>
        <v>3</v>
      </c>
      <c r="E129" s="20">
        <f>Investment_Master!S129</f>
        <v>0.19437892493862891</v>
      </c>
      <c r="F129" s="19">
        <f>Investment_Master!Q129</f>
        <v>24198117.019256622</v>
      </c>
      <c r="G129" s="19">
        <f>Investment_Master!J129</f>
        <v>20260000</v>
      </c>
      <c r="H129" s="17" t="str">
        <f t="shared" si="7"/>
        <v>High Return + High Risk</v>
      </c>
      <c r="I129" s="17" t="str">
        <f>Investment_Master!AB129</f>
        <v>Watch</v>
      </c>
    </row>
    <row r="130" spans="1:9" ht="15" customHeight="1" x14ac:dyDescent="0.25">
      <c r="A130" s="17" t="str">
        <f>Investment_Master!A130</f>
        <v>INV-126</v>
      </c>
      <c r="B130" s="17" t="str">
        <f>Investment_Master!B130</f>
        <v>RPA Finance Rollout – Central</v>
      </c>
      <c r="C130" s="17" t="str">
        <f>Investment_Master!AA130</f>
        <v>Medium</v>
      </c>
      <c r="D130" s="17">
        <f t="shared" si="6"/>
        <v>2</v>
      </c>
      <c r="E130" s="20">
        <f>Investment_Master!S130</f>
        <v>0.11206221261179219</v>
      </c>
      <c r="F130" s="19">
        <f>Investment_Master!Q130</f>
        <v>27823796.559547041</v>
      </c>
      <c r="G130" s="19">
        <f>Investment_Master!J130</f>
        <v>25020000</v>
      </c>
      <c r="H130" s="17" t="str">
        <f t="shared" si="7"/>
        <v>Low Return + Low Risk</v>
      </c>
      <c r="I130" s="17" t="str">
        <f>Investment_Master!AB130</f>
        <v>Underperforming</v>
      </c>
    </row>
    <row r="131" spans="1:9" ht="15" customHeight="1" x14ac:dyDescent="0.25">
      <c r="A131" s="17" t="str">
        <f>Investment_Master!A131</f>
        <v>INV-127</v>
      </c>
      <c r="B131" s="17" t="str">
        <f>Investment_Master!B131</f>
        <v>Leadership Development – South</v>
      </c>
      <c r="C131" s="17" t="str">
        <f>Investment_Master!AA131</f>
        <v>Low</v>
      </c>
      <c r="D131" s="17">
        <f t="shared" si="6"/>
        <v>1</v>
      </c>
      <c r="E131" s="20">
        <f>Investment_Master!S131</f>
        <v>-1.6771385918470865E-2</v>
      </c>
      <c r="F131" s="19">
        <f>Investment_Master!Q131</f>
        <v>10087925.580476489</v>
      </c>
      <c r="G131" s="19">
        <f>Investment_Master!J131</f>
        <v>10260000</v>
      </c>
      <c r="H131" s="17" t="str">
        <f t="shared" si="7"/>
        <v>Low Return + Low Risk</v>
      </c>
      <c r="I131" s="17" t="str">
        <f>Investment_Master!AB131</f>
        <v>Underperforming</v>
      </c>
    </row>
    <row r="132" spans="1:9" ht="15" customHeight="1" x14ac:dyDescent="0.25">
      <c r="A132" s="17" t="str">
        <f>Investment_Master!A132</f>
        <v>INV-128</v>
      </c>
      <c r="B132" s="17" t="str">
        <f>Investment_Master!B132</f>
        <v>Plant Utility Upgrade – West</v>
      </c>
      <c r="C132" s="17" t="str">
        <f>Investment_Master!AA132</f>
        <v>High</v>
      </c>
      <c r="D132" s="17">
        <f t="shared" si="6"/>
        <v>3</v>
      </c>
      <c r="E132" s="20">
        <f>Investment_Master!S132</f>
        <v>5.1172710765170909E-2</v>
      </c>
      <c r="F132" s="19">
        <f>Investment_Master!Q132</f>
        <v>43266268.775094435</v>
      </c>
      <c r="G132" s="19">
        <f>Investment_Master!J132</f>
        <v>41160000</v>
      </c>
      <c r="H132" s="17" t="str">
        <f t="shared" si="7"/>
        <v>Low Return + High Risk</v>
      </c>
      <c r="I132" s="17" t="str">
        <f>Investment_Master!AB132</f>
        <v>Watch</v>
      </c>
    </row>
    <row r="133" spans="1:9" ht="15" customHeight="1" x14ac:dyDescent="0.25">
      <c r="A133" s="17" t="str">
        <f>Investment_Master!A133</f>
        <v>INV-129</v>
      </c>
      <c r="B133" s="17" t="str">
        <f>Investment_Master!B133</f>
        <v>ERP Cloud Migration – North</v>
      </c>
      <c r="C133" s="17" t="str">
        <f>Investment_Master!AA133</f>
        <v>Medium</v>
      </c>
      <c r="D133" s="17">
        <f t="shared" ref="D133:D164" si="8">IF(C133="Low",1,IF(C133="Medium",2,3))</f>
        <v>2</v>
      </c>
      <c r="E133" s="20">
        <f>Investment_Master!S133</f>
        <v>0.24307567856463774</v>
      </c>
      <c r="F133" s="19">
        <f>Investment_Master!Q133</f>
        <v>15227677.062416812</v>
      </c>
      <c r="G133" s="19">
        <f>Investment_Master!J133</f>
        <v>12250000</v>
      </c>
      <c r="H133" s="17" t="str">
        <f t="shared" ref="H133:H154" si="9">IF(AND(E133&gt;=AVERAGE($E$5:$E$154),D133&lt;=2),"High Return + Low/Medium Risk",IF(AND(E133&gt;=AVERAGE($E$5:$E$154),D133&gt;2),"High Return + High Risk",IF(D133&lt;=2,"Low Return + Low Risk","Low Return + High Risk")))</f>
        <v>High Return + Low/Medium Risk</v>
      </c>
      <c r="I133" s="17" t="str">
        <f>Investment_Master!AB133</f>
        <v>Watch</v>
      </c>
    </row>
    <row r="134" spans="1:9" ht="15" customHeight="1" x14ac:dyDescent="0.25">
      <c r="A134" s="17" t="str">
        <f>Investment_Master!A134</f>
        <v>INV-130</v>
      </c>
      <c r="B134" s="17" t="str">
        <f>Investment_Master!B134</f>
        <v>Brand Repositioning – East</v>
      </c>
      <c r="C134" s="17" t="str">
        <f>Investment_Master!AA134</f>
        <v>Low</v>
      </c>
      <c r="D134" s="17">
        <f t="shared" si="8"/>
        <v>1</v>
      </c>
      <c r="E134" s="20">
        <f>Investment_Master!S134</f>
        <v>0.2867557533914199</v>
      </c>
      <c r="F134" s="19">
        <f>Investment_Master!Q134</f>
        <v>21514556.19670454</v>
      </c>
      <c r="G134" s="19">
        <f>Investment_Master!J134</f>
        <v>16720000</v>
      </c>
      <c r="H134" s="17" t="str">
        <f t="shared" si="9"/>
        <v>High Return + Low/Medium Risk</v>
      </c>
      <c r="I134" s="17" t="str">
        <f>Investment_Master!AB134</f>
        <v>Watch</v>
      </c>
    </row>
    <row r="135" spans="1:9" ht="15" customHeight="1" x14ac:dyDescent="0.25">
      <c r="A135" s="17" t="str">
        <f>Investment_Master!A135</f>
        <v>INV-131</v>
      </c>
      <c r="B135" s="17" t="str">
        <f>Investment_Master!B135</f>
        <v>Premium Product Line – Central</v>
      </c>
      <c r="C135" s="17" t="str">
        <f>Investment_Master!AA135</f>
        <v>High</v>
      </c>
      <c r="D135" s="17">
        <f t="shared" si="8"/>
        <v>3</v>
      </c>
      <c r="E135" s="20">
        <f>Investment_Master!S135</f>
        <v>1.3841037399731011E-2</v>
      </c>
      <c r="F135" s="19">
        <f>Investment_Master!Q135</f>
        <v>33355370.13045115</v>
      </c>
      <c r="G135" s="19">
        <f>Investment_Master!J135</f>
        <v>32900000</v>
      </c>
      <c r="H135" s="17" t="str">
        <f t="shared" si="9"/>
        <v>Low Return + High Risk</v>
      </c>
      <c r="I135" s="17" t="str">
        <f>Investment_Master!AB135</f>
        <v>Underperforming</v>
      </c>
    </row>
    <row r="136" spans="1:9" ht="15" customHeight="1" x14ac:dyDescent="0.25">
      <c r="A136" s="17" t="str">
        <f>Investment_Master!A136</f>
        <v>INV-132</v>
      </c>
      <c r="B136" s="17" t="str">
        <f>Investment_Master!B136</f>
        <v>Tier-2 City Expansion – South</v>
      </c>
      <c r="C136" s="17" t="str">
        <f>Investment_Master!AA136</f>
        <v>Medium</v>
      </c>
      <c r="D136" s="17">
        <f t="shared" si="8"/>
        <v>2</v>
      </c>
      <c r="E136" s="20">
        <f>Investment_Master!S136</f>
        <v>0.16513974069513179</v>
      </c>
      <c r="F136" s="19">
        <f>Investment_Master!Q136</f>
        <v>32449141.778359421</v>
      </c>
      <c r="G136" s="19">
        <f>Investment_Master!J136</f>
        <v>27850000</v>
      </c>
      <c r="H136" s="17" t="str">
        <f t="shared" si="9"/>
        <v>High Return + Low/Medium Risk</v>
      </c>
      <c r="I136" s="17" t="str">
        <f>Investment_Master!AB136</f>
        <v>Watch</v>
      </c>
    </row>
    <row r="137" spans="1:9" ht="15" customHeight="1" x14ac:dyDescent="0.25">
      <c r="A137" s="17" t="str">
        <f>Investment_Master!A137</f>
        <v>INV-133</v>
      </c>
      <c r="B137" s="17" t="str">
        <f>Investment_Master!B137</f>
        <v>Automated Packaging Line – West</v>
      </c>
      <c r="C137" s="17" t="str">
        <f>Investment_Master!AA137</f>
        <v>Low</v>
      </c>
      <c r="D137" s="17">
        <f t="shared" si="8"/>
        <v>1</v>
      </c>
      <c r="E137" s="20">
        <f>Investment_Master!S137</f>
        <v>0.18349638643799496</v>
      </c>
      <c r="F137" s="19">
        <f>Investment_Master!Q137</f>
        <v>21634313.944086548</v>
      </c>
      <c r="G137" s="19">
        <f>Investment_Master!J137</f>
        <v>18280000</v>
      </c>
      <c r="H137" s="17" t="str">
        <f t="shared" si="9"/>
        <v>High Return + Low/Medium Risk</v>
      </c>
      <c r="I137" s="17" t="str">
        <f>Investment_Master!AB137</f>
        <v>Watch</v>
      </c>
    </row>
    <row r="138" spans="1:9" ht="15" customHeight="1" x14ac:dyDescent="0.25">
      <c r="A138" s="17" t="str">
        <f>Investment_Master!A138</f>
        <v>INV-134</v>
      </c>
      <c r="B138" s="17" t="str">
        <f>Investment_Master!B138</f>
        <v>RPA Finance Rollout – North</v>
      </c>
      <c r="C138" s="17" t="str">
        <f>Investment_Master!AA138</f>
        <v>High</v>
      </c>
      <c r="D138" s="17">
        <f t="shared" si="8"/>
        <v>3</v>
      </c>
      <c r="E138" s="20">
        <f>Investment_Master!S138</f>
        <v>0.18048373729977177</v>
      </c>
      <c r="F138" s="19">
        <f>Investment_Master!Q138</f>
        <v>14791461.22836614</v>
      </c>
      <c r="G138" s="19">
        <f>Investment_Master!J138</f>
        <v>12530000</v>
      </c>
      <c r="H138" s="17" t="str">
        <f t="shared" si="9"/>
        <v>High Return + High Risk</v>
      </c>
      <c r="I138" s="17" t="str">
        <f>Investment_Master!AB138</f>
        <v>Underperforming</v>
      </c>
    </row>
    <row r="139" spans="1:9" ht="15" customHeight="1" x14ac:dyDescent="0.25">
      <c r="A139" s="17" t="str">
        <f>Investment_Master!A139</f>
        <v>INV-135</v>
      </c>
      <c r="B139" s="17" t="str">
        <f>Investment_Master!B139</f>
        <v>Leadership Development – East</v>
      </c>
      <c r="C139" s="17" t="str">
        <f>Investment_Master!AA139</f>
        <v>Medium</v>
      </c>
      <c r="D139" s="17">
        <f t="shared" si="8"/>
        <v>2</v>
      </c>
      <c r="E139" s="20">
        <f>Investment_Master!S139</f>
        <v>-4.3602787697340335E-2</v>
      </c>
      <c r="F139" s="19">
        <f>Investment_Master!Q139</f>
        <v>3156110.8005987769</v>
      </c>
      <c r="G139" s="19">
        <f>Investment_Master!J139</f>
        <v>3300000</v>
      </c>
      <c r="H139" s="17" t="str">
        <f t="shared" si="9"/>
        <v>Low Return + Low Risk</v>
      </c>
      <c r="I139" s="17" t="str">
        <f>Investment_Master!AB139</f>
        <v>Underperforming</v>
      </c>
    </row>
    <row r="140" spans="1:9" ht="15" customHeight="1" x14ac:dyDescent="0.25">
      <c r="A140" s="17" t="str">
        <f>Investment_Master!A140</f>
        <v>INV-136</v>
      </c>
      <c r="B140" s="17" t="str">
        <f>Investment_Master!B140</f>
        <v>Plant Utility Upgrade – Central</v>
      </c>
      <c r="C140" s="17" t="str">
        <f>Investment_Master!AA140</f>
        <v>Low</v>
      </c>
      <c r="D140" s="17">
        <f t="shared" si="8"/>
        <v>1</v>
      </c>
      <c r="E140" s="20">
        <f>Investment_Master!S140</f>
        <v>6.401628743897593E-2</v>
      </c>
      <c r="F140" s="19">
        <f>Investment_Master!Q140</f>
        <v>43177780.944273643</v>
      </c>
      <c r="G140" s="19">
        <f>Investment_Master!J140</f>
        <v>40580000</v>
      </c>
      <c r="H140" s="17" t="str">
        <f t="shared" si="9"/>
        <v>Low Return + Low Risk</v>
      </c>
      <c r="I140" s="17" t="str">
        <f>Investment_Master!AB140</f>
        <v>Watch</v>
      </c>
    </row>
    <row r="141" spans="1:9" ht="15" customHeight="1" x14ac:dyDescent="0.25">
      <c r="A141" s="17" t="str">
        <f>Investment_Master!A141</f>
        <v>INV-137</v>
      </c>
      <c r="B141" s="17" t="str">
        <f>Investment_Master!B141</f>
        <v>ERP Cloud Migration – South</v>
      </c>
      <c r="C141" s="17" t="str">
        <f>Investment_Master!AA141</f>
        <v>High</v>
      </c>
      <c r="D141" s="17">
        <f t="shared" si="8"/>
        <v>3</v>
      </c>
      <c r="E141" s="20">
        <f>Investment_Master!S141</f>
        <v>0.29627862380912234</v>
      </c>
      <c r="F141" s="19">
        <f>Investment_Master!Q141</f>
        <v>14907204.173804907</v>
      </c>
      <c r="G141" s="19">
        <f>Investment_Master!J141</f>
        <v>11500000</v>
      </c>
      <c r="H141" s="17" t="str">
        <f t="shared" si="9"/>
        <v>High Return + High Risk</v>
      </c>
      <c r="I141" s="17" t="str">
        <f>Investment_Master!AB141</f>
        <v>Watch</v>
      </c>
    </row>
    <row r="142" spans="1:9" ht="15" customHeight="1" x14ac:dyDescent="0.25">
      <c r="A142" s="17" t="str">
        <f>Investment_Master!A142</f>
        <v>INV-138</v>
      </c>
      <c r="B142" s="17" t="str">
        <f>Investment_Master!B142</f>
        <v>Brand Repositioning – West</v>
      </c>
      <c r="C142" s="17" t="str">
        <f>Investment_Master!AA142</f>
        <v>Medium</v>
      </c>
      <c r="D142" s="17">
        <f t="shared" si="8"/>
        <v>2</v>
      </c>
      <c r="E142" s="20">
        <f>Investment_Master!S142</f>
        <v>0.15806466059208721</v>
      </c>
      <c r="F142" s="19">
        <f>Investment_Master!Q142</f>
        <v>18031066.765418798</v>
      </c>
      <c r="G142" s="19">
        <f>Investment_Master!J142</f>
        <v>15570000</v>
      </c>
      <c r="H142" s="17" t="str">
        <f t="shared" si="9"/>
        <v>High Return + Low/Medium Risk</v>
      </c>
      <c r="I142" s="17" t="str">
        <f>Investment_Master!AB142</f>
        <v>Watch</v>
      </c>
    </row>
    <row r="143" spans="1:9" ht="15" customHeight="1" x14ac:dyDescent="0.25">
      <c r="A143" s="17" t="str">
        <f>Investment_Master!A143</f>
        <v>INV-139</v>
      </c>
      <c r="B143" s="17" t="str">
        <f>Investment_Master!B143</f>
        <v>Premium Product Line – North</v>
      </c>
      <c r="C143" s="17" t="str">
        <f>Investment_Master!AA143</f>
        <v>Low</v>
      </c>
      <c r="D143" s="17">
        <f t="shared" si="8"/>
        <v>1</v>
      </c>
      <c r="E143" s="20">
        <f>Investment_Master!S143</f>
        <v>6.8214394237036596E-2</v>
      </c>
      <c r="F143" s="19">
        <f>Investment_Master!Q143</f>
        <v>17775087.520104289</v>
      </c>
      <c r="G143" s="19">
        <f>Investment_Master!J143</f>
        <v>16640000</v>
      </c>
      <c r="H143" s="17" t="str">
        <f t="shared" si="9"/>
        <v>Low Return + Low Risk</v>
      </c>
      <c r="I143" s="17" t="str">
        <f>Investment_Master!AB143</f>
        <v>Underperforming</v>
      </c>
    </row>
    <row r="144" spans="1:9" ht="15" customHeight="1" x14ac:dyDescent="0.25">
      <c r="A144" s="17" t="str">
        <f>Investment_Master!A144</f>
        <v>INV-140</v>
      </c>
      <c r="B144" s="17" t="str">
        <f>Investment_Master!B144</f>
        <v>Tier-2 City Expansion – East</v>
      </c>
      <c r="C144" s="17" t="str">
        <f>Investment_Master!AA144</f>
        <v>High</v>
      </c>
      <c r="D144" s="17">
        <f t="shared" si="8"/>
        <v>3</v>
      </c>
      <c r="E144" s="20">
        <f>Investment_Master!S144</f>
        <v>4.3882130248093044E-2</v>
      </c>
      <c r="F144" s="19">
        <f>Investment_Master!Q144</f>
        <v>67967165.500453338</v>
      </c>
      <c r="G144" s="19">
        <f>Investment_Master!J144</f>
        <v>65110000</v>
      </c>
      <c r="H144" s="17" t="str">
        <f t="shared" si="9"/>
        <v>Low Return + High Risk</v>
      </c>
      <c r="I144" s="17" t="str">
        <f>Investment_Master!AB144</f>
        <v>Underperforming</v>
      </c>
    </row>
    <row r="145" spans="1:9" ht="15" customHeight="1" x14ac:dyDescent="0.25">
      <c r="A145" s="17" t="str">
        <f>Investment_Master!A145</f>
        <v>INV-141</v>
      </c>
      <c r="B145" s="17" t="str">
        <f>Investment_Master!B145</f>
        <v>Automated Packaging Line – Central</v>
      </c>
      <c r="C145" s="17" t="str">
        <f>Investment_Master!AA145</f>
        <v>Medium</v>
      </c>
      <c r="D145" s="17">
        <f t="shared" si="8"/>
        <v>2</v>
      </c>
      <c r="E145" s="20">
        <f>Investment_Master!S145</f>
        <v>4.3831115375555715E-2</v>
      </c>
      <c r="F145" s="19">
        <f>Investment_Master!Q145</f>
        <v>18089593.22945838</v>
      </c>
      <c r="G145" s="19">
        <f>Investment_Master!J145</f>
        <v>17330000</v>
      </c>
      <c r="H145" s="17" t="str">
        <f t="shared" si="9"/>
        <v>Low Return + Low Risk</v>
      </c>
      <c r="I145" s="17" t="str">
        <f>Investment_Master!AB145</f>
        <v>Underperforming</v>
      </c>
    </row>
    <row r="146" spans="1:9" ht="15" customHeight="1" x14ac:dyDescent="0.25">
      <c r="A146" s="17" t="str">
        <f>Investment_Master!A146</f>
        <v>INV-142</v>
      </c>
      <c r="B146" s="17" t="str">
        <f>Investment_Master!B146</f>
        <v>RPA Finance Rollout – South</v>
      </c>
      <c r="C146" s="17" t="str">
        <f>Investment_Master!AA146</f>
        <v>Low</v>
      </c>
      <c r="D146" s="17">
        <f t="shared" si="8"/>
        <v>1</v>
      </c>
      <c r="E146" s="20">
        <f>Investment_Master!S146</f>
        <v>0.14063473962505846</v>
      </c>
      <c r="F146" s="19">
        <f>Investment_Master!Q146</f>
        <v>25162402.356128789</v>
      </c>
      <c r="G146" s="19">
        <f>Investment_Master!J146</f>
        <v>22060000</v>
      </c>
      <c r="H146" s="17" t="str">
        <f t="shared" si="9"/>
        <v>High Return + Low/Medium Risk</v>
      </c>
      <c r="I146" s="17" t="str">
        <f>Investment_Master!AB146</f>
        <v>Underperforming</v>
      </c>
    </row>
    <row r="147" spans="1:9" ht="15" customHeight="1" x14ac:dyDescent="0.25">
      <c r="A147" s="17" t="str">
        <f>Investment_Master!A147</f>
        <v>INV-143</v>
      </c>
      <c r="B147" s="17" t="str">
        <f>Investment_Master!B147</f>
        <v>Leadership Development – West</v>
      </c>
      <c r="C147" s="17" t="str">
        <f>Investment_Master!AA147</f>
        <v>High</v>
      </c>
      <c r="D147" s="17">
        <f t="shared" si="8"/>
        <v>3</v>
      </c>
      <c r="E147" s="20">
        <f>Investment_Master!S147</f>
        <v>8.974614720505392E-3</v>
      </c>
      <c r="F147" s="19">
        <f>Investment_Master!Q147</f>
        <v>10796028.377509408</v>
      </c>
      <c r="G147" s="19">
        <f>Investment_Master!J147</f>
        <v>10700000</v>
      </c>
      <c r="H147" s="17" t="str">
        <f t="shared" si="9"/>
        <v>Low Return + High Risk</v>
      </c>
      <c r="I147" s="17" t="str">
        <f>Investment_Master!AB147</f>
        <v>Underperforming</v>
      </c>
    </row>
    <row r="148" spans="1:9" ht="15" customHeight="1" x14ac:dyDescent="0.25">
      <c r="A148" s="17" t="str">
        <f>Investment_Master!A148</f>
        <v>INV-144</v>
      </c>
      <c r="B148" s="17" t="str">
        <f>Investment_Master!B148</f>
        <v>Plant Utility Upgrade – North</v>
      </c>
      <c r="C148" s="17" t="str">
        <f>Investment_Master!AA148</f>
        <v>Medium</v>
      </c>
      <c r="D148" s="17">
        <f t="shared" si="8"/>
        <v>2</v>
      </c>
      <c r="E148" s="20">
        <f>Investment_Master!S148</f>
        <v>4.074152496521888E-3</v>
      </c>
      <c r="F148" s="19">
        <f>Investment_Master!Q148</f>
        <v>36949928.811872005</v>
      </c>
      <c r="G148" s="19">
        <f>Investment_Master!J148</f>
        <v>36800000</v>
      </c>
      <c r="H148" s="17" t="str">
        <f t="shared" si="9"/>
        <v>Low Return + Low Risk</v>
      </c>
      <c r="I148" s="17" t="str">
        <f>Investment_Master!AB148</f>
        <v>Underperforming</v>
      </c>
    </row>
    <row r="149" spans="1:9" ht="15" customHeight="1" x14ac:dyDescent="0.25">
      <c r="A149" s="17" t="str">
        <f>Investment_Master!A149</f>
        <v>INV-145</v>
      </c>
      <c r="B149" s="17" t="str">
        <f>Investment_Master!B149</f>
        <v>ERP Cloud Migration – East</v>
      </c>
      <c r="C149" s="17" t="str">
        <f>Investment_Master!AA149</f>
        <v>Low</v>
      </c>
      <c r="D149" s="17">
        <f t="shared" si="8"/>
        <v>1</v>
      </c>
      <c r="E149" s="20">
        <f>Investment_Master!S149</f>
        <v>0.16502203160791939</v>
      </c>
      <c r="F149" s="19">
        <f>Investment_Master!Q149</f>
        <v>11580318.994182719</v>
      </c>
      <c r="G149" s="19">
        <f>Investment_Master!J149</f>
        <v>9940000</v>
      </c>
      <c r="H149" s="17" t="str">
        <f t="shared" si="9"/>
        <v>High Return + Low/Medium Risk</v>
      </c>
      <c r="I149" s="17" t="str">
        <f>Investment_Master!AB149</f>
        <v>Watch</v>
      </c>
    </row>
    <row r="150" spans="1:9" ht="15" customHeight="1" x14ac:dyDescent="0.25">
      <c r="A150" s="17" t="str">
        <f>Investment_Master!A150</f>
        <v>INV-146</v>
      </c>
      <c r="B150" s="17" t="str">
        <f>Investment_Master!B150</f>
        <v>Brand Repositioning – Central</v>
      </c>
      <c r="C150" s="17" t="str">
        <f>Investment_Master!AA150</f>
        <v>High</v>
      </c>
      <c r="D150" s="17">
        <f t="shared" si="8"/>
        <v>3</v>
      </c>
      <c r="E150" s="20">
        <f>Investment_Master!S150</f>
        <v>0.12373786579943076</v>
      </c>
      <c r="F150" s="19">
        <f>Investment_Master!Q150</f>
        <v>23081575.763520308</v>
      </c>
      <c r="G150" s="19">
        <f>Investment_Master!J150</f>
        <v>20540000</v>
      </c>
      <c r="H150" s="17" t="str">
        <f t="shared" si="9"/>
        <v>Low Return + High Risk</v>
      </c>
      <c r="I150" s="17" t="str">
        <f>Investment_Master!AB150</f>
        <v>Underperforming</v>
      </c>
    </row>
    <row r="151" spans="1:9" ht="15" customHeight="1" x14ac:dyDescent="0.25">
      <c r="A151" s="17" t="str">
        <f>Investment_Master!A151</f>
        <v>INV-147</v>
      </c>
      <c r="B151" s="17" t="str">
        <f>Investment_Master!B151</f>
        <v>Premium Product Line – South</v>
      </c>
      <c r="C151" s="17" t="str">
        <f>Investment_Master!AA151</f>
        <v>Medium</v>
      </c>
      <c r="D151" s="17">
        <f t="shared" si="8"/>
        <v>2</v>
      </c>
      <c r="E151" s="20">
        <f>Investment_Master!S151</f>
        <v>1.2848234911383842E-2</v>
      </c>
      <c r="F151" s="19">
        <f>Investment_Master!Q151</f>
        <v>25351591.319831938</v>
      </c>
      <c r="G151" s="19">
        <f>Investment_Master!J151</f>
        <v>25030000</v>
      </c>
      <c r="H151" s="17" t="str">
        <f t="shared" si="9"/>
        <v>Low Return + Low Risk</v>
      </c>
      <c r="I151" s="17" t="str">
        <f>Investment_Master!AB151</f>
        <v>Underperforming</v>
      </c>
    </row>
    <row r="152" spans="1:9" ht="15" customHeight="1" x14ac:dyDescent="0.25">
      <c r="A152" s="17" t="str">
        <f>Investment_Master!A152</f>
        <v>INV-148</v>
      </c>
      <c r="B152" s="17" t="str">
        <f>Investment_Master!B152</f>
        <v>Tier-2 City Expansion – West</v>
      </c>
      <c r="C152" s="17" t="str">
        <f>Investment_Master!AA152</f>
        <v>Low</v>
      </c>
      <c r="D152" s="17">
        <f t="shared" si="8"/>
        <v>1</v>
      </c>
      <c r="E152" s="20">
        <f>Investment_Master!S152</f>
        <v>0.17813972329163857</v>
      </c>
      <c r="F152" s="19">
        <f>Investment_Master!Q152</f>
        <v>26861585.69104936</v>
      </c>
      <c r="G152" s="19">
        <f>Investment_Master!J152</f>
        <v>22800000</v>
      </c>
      <c r="H152" s="17" t="str">
        <f t="shared" si="9"/>
        <v>High Return + Low/Medium Risk</v>
      </c>
      <c r="I152" s="17" t="str">
        <f>Investment_Master!AB152</f>
        <v>Watch</v>
      </c>
    </row>
    <row r="153" spans="1:9" ht="15" customHeight="1" x14ac:dyDescent="0.25">
      <c r="A153" s="17" t="str">
        <f>Investment_Master!A153</f>
        <v>INV-149</v>
      </c>
      <c r="B153" s="17" t="str">
        <f>Investment_Master!B153</f>
        <v>Automated Packaging Line – North</v>
      </c>
      <c r="C153" s="17" t="str">
        <f>Investment_Master!AA153</f>
        <v>High</v>
      </c>
      <c r="D153" s="17">
        <f t="shared" si="8"/>
        <v>3</v>
      </c>
      <c r="E153" s="20">
        <f>Investment_Master!S153</f>
        <v>0.15537627275190613</v>
      </c>
      <c r="F153" s="19">
        <f>Investment_Master!Q153</f>
        <v>42390755.447267435</v>
      </c>
      <c r="G153" s="19">
        <f>Investment_Master!J153</f>
        <v>36690000</v>
      </c>
      <c r="H153" s="17" t="str">
        <f t="shared" si="9"/>
        <v>High Return + High Risk</v>
      </c>
      <c r="I153" s="17" t="str">
        <f>Investment_Master!AB153</f>
        <v>Watch</v>
      </c>
    </row>
    <row r="154" spans="1:9" ht="15" customHeight="1" x14ac:dyDescent="0.25">
      <c r="A154" s="17" t="str">
        <f>Investment_Master!A154</f>
        <v>INV-150</v>
      </c>
      <c r="B154" s="17" t="str">
        <f>Investment_Master!B154</f>
        <v>RPA Finance Rollout – East</v>
      </c>
      <c r="C154" s="17" t="str">
        <f>Investment_Master!AA154</f>
        <v>Medium</v>
      </c>
      <c r="D154" s="17">
        <f t="shared" si="8"/>
        <v>2</v>
      </c>
      <c r="E154" s="20">
        <f>Investment_Master!S154</f>
        <v>0.19106333980505472</v>
      </c>
      <c r="F154" s="19">
        <f>Investment_Master!Q154</f>
        <v>21153284.914937772</v>
      </c>
      <c r="G154" s="19">
        <f>Investment_Master!J154</f>
        <v>17760000</v>
      </c>
      <c r="H154" s="17" t="str">
        <f t="shared" si="9"/>
        <v>High Return + Low/Medium Risk</v>
      </c>
      <c r="I154" s="17" t="str">
        <f>Investment_Master!AB154</f>
        <v>Watch</v>
      </c>
    </row>
  </sheetData>
  <mergeCells count="2">
    <mergeCell ref="A1:H1"/>
    <mergeCell ref="A2:H2"/>
  </mergeCells>
  <conditionalFormatting sqref="E5:E154">
    <cfRule type="colorScale" priority="2">
      <colorScale>
        <cfvo type="min"/>
        <cfvo type="percentile" val="50"/>
        <cfvo type="max"/>
        <color rgb="FFC00000"/>
        <color rgb="FFFFD966"/>
        <color rgb="FF70AD47"/>
      </colorScale>
    </cfRule>
  </conditionalFormatting>
  <pageMargins left="0.75" right="0.75" top="1" bottom="1" header="0.511811023622047" footer="0.511811023622047"/>
  <pageSetup fitToHeight="0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3"/>
  <sheetViews>
    <sheetView zoomScale="90" zoomScaleNormal="90" workbookViewId="0">
      <selection sqref="A1:H1"/>
    </sheetView>
  </sheetViews>
  <sheetFormatPr defaultColWidth="8.7109375" defaultRowHeight="15" customHeight="1" x14ac:dyDescent="0.25"/>
  <cols>
    <col min="1" max="3" width="18" style="15" customWidth="1"/>
    <col min="4" max="4" width="16" style="15" customWidth="1"/>
    <col min="5" max="7" width="20" style="15" customWidth="1"/>
    <col min="8" max="8" width="14" style="15" customWidth="1"/>
    <col min="9" max="9" width="18" style="15" customWidth="1"/>
    <col min="10" max="10" width="16" style="15" customWidth="1"/>
  </cols>
  <sheetData>
    <row r="1" spans="1:10" ht="30" customHeight="1" x14ac:dyDescent="0.25">
      <c r="A1" s="14" t="s">
        <v>303</v>
      </c>
      <c r="B1" s="14"/>
      <c r="C1" s="14"/>
      <c r="D1" s="14"/>
      <c r="E1" s="14"/>
      <c r="F1" s="14"/>
      <c r="G1" s="14"/>
      <c r="H1" s="14"/>
    </row>
    <row r="2" spans="1:10" ht="19.5" customHeight="1" x14ac:dyDescent="0.25">
      <c r="A2" s="13" t="s">
        <v>304</v>
      </c>
      <c r="B2" s="13"/>
      <c r="C2" s="13"/>
      <c r="D2" s="13"/>
      <c r="E2" s="13"/>
      <c r="F2" s="13"/>
      <c r="G2" s="13"/>
      <c r="H2" s="13"/>
    </row>
    <row r="4" spans="1:10" ht="27.75" customHeight="1" x14ac:dyDescent="0.25">
      <c r="A4" s="16" t="s">
        <v>305</v>
      </c>
      <c r="B4" s="16" t="s">
        <v>306</v>
      </c>
      <c r="C4" s="16" t="s">
        <v>307</v>
      </c>
      <c r="D4" s="16" t="s">
        <v>308</v>
      </c>
      <c r="E4" s="16" t="s">
        <v>258</v>
      </c>
      <c r="F4" s="16" t="s">
        <v>309</v>
      </c>
      <c r="G4" s="16" t="s">
        <v>288</v>
      </c>
      <c r="H4" s="16" t="s">
        <v>289</v>
      </c>
      <c r="I4" s="16" t="s">
        <v>245</v>
      </c>
      <c r="J4" s="16" t="s">
        <v>276</v>
      </c>
    </row>
    <row r="5" spans="1:10" ht="15" customHeight="1" x14ac:dyDescent="0.25">
      <c r="A5" s="17" t="s">
        <v>310</v>
      </c>
      <c r="B5" s="20">
        <v>1.1200000000000001</v>
      </c>
      <c r="C5" s="20">
        <v>1.1200000000000001</v>
      </c>
      <c r="D5" s="20">
        <v>0.94</v>
      </c>
      <c r="E5" s="19">
        <f>SUM(Investment_Master!J5:J154)</f>
        <v>3786560000</v>
      </c>
      <c r="F5" s="19">
        <f>SUM(Investment_Master!M5:M154)*B5+SUM(Investment_Master!O5:O154)*C5</f>
        <v>4804349398.2094631</v>
      </c>
      <c r="G5" s="19">
        <f>F5-E5*D5</f>
        <v>1244982998.2094631</v>
      </c>
      <c r="H5" s="20">
        <f>IFERROR(G5/E5,0)</f>
        <v>0.32878998304779616</v>
      </c>
      <c r="I5" s="19">
        <f>SUM(NPV_IRR!K5:K154)*B5</f>
        <v>-635558635.55758226</v>
      </c>
      <c r="J5" s="21">
        <f>IFERROR(E5/G5,0)</f>
        <v>3.0414551889028507</v>
      </c>
    </row>
    <row r="6" spans="1:10" ht="15" customHeight="1" x14ac:dyDescent="0.25">
      <c r="A6" s="17" t="s">
        <v>311</v>
      </c>
      <c r="B6" s="20">
        <v>1</v>
      </c>
      <c r="C6" s="20">
        <v>1</v>
      </c>
      <c r="D6" s="20">
        <v>1</v>
      </c>
      <c r="E6" s="19">
        <f>SUM(Investment_Master!J5:J154)</f>
        <v>3786560000</v>
      </c>
      <c r="F6" s="19">
        <f>SUM(Investment_Master!M5:M154)*B6+SUM(Investment_Master!O5:O154)*C6</f>
        <v>4289597676.9727345</v>
      </c>
      <c r="G6" s="19">
        <f>F6-E6*D6</f>
        <v>503037676.97273445</v>
      </c>
      <c r="H6" s="20">
        <f>IFERROR(G6/E6,0)</f>
        <v>0.13284819914981791</v>
      </c>
      <c r="I6" s="19">
        <f>SUM(NPV_IRR!K5:K154)*B6</f>
        <v>-567463067.46212697</v>
      </c>
      <c r="J6" s="21">
        <f>IFERROR(E6/G6,0)</f>
        <v>7.5273884508758941</v>
      </c>
    </row>
    <row r="7" spans="1:10" ht="15" customHeight="1" x14ac:dyDescent="0.25">
      <c r="A7" s="17" t="s">
        <v>312</v>
      </c>
      <c r="B7" s="20">
        <v>0.82</v>
      </c>
      <c r="C7" s="20">
        <v>0.78</v>
      </c>
      <c r="D7" s="20">
        <v>1.1000000000000001</v>
      </c>
      <c r="E7" s="19">
        <f>SUM(Investment_Master!J5:J154)</f>
        <v>3786560000</v>
      </c>
      <c r="F7" s="19">
        <f>SUM(Investment_Master!M5:M154)*B7+SUM(Investment_Master!O5:O154)*C7</f>
        <v>3498364437.367588</v>
      </c>
      <c r="G7" s="19">
        <f>F7-E7*D7</f>
        <v>-666851562.63241243</v>
      </c>
      <c r="H7" s="20">
        <f>IFERROR(G7/E7,0)</f>
        <v>-0.176110127036786</v>
      </c>
      <c r="I7" s="19">
        <f>SUM(NPV_IRR!K5:K154)*B7</f>
        <v>-465319715.3189441</v>
      </c>
      <c r="J7" s="21">
        <f>IFERROR(E7/G7,0)</f>
        <v>-5.6782651675171367</v>
      </c>
    </row>
    <row r="10" spans="1:10" ht="15" customHeight="1" x14ac:dyDescent="0.25">
      <c r="A10" s="24" t="s">
        <v>313</v>
      </c>
    </row>
    <row r="11" spans="1:10" ht="15" customHeight="1" x14ac:dyDescent="0.25">
      <c r="A11" s="12" t="s">
        <v>314</v>
      </c>
      <c r="B11" s="12"/>
      <c r="C11" s="12"/>
      <c r="D11" s="12"/>
      <c r="E11" s="12"/>
      <c r="F11" s="12"/>
      <c r="G11" s="12"/>
      <c r="H11" s="12"/>
      <c r="I11" s="12"/>
      <c r="J11" s="12"/>
    </row>
    <row r="12" spans="1:10" ht="15" customHeight="1" x14ac:dyDescent="0.25">
      <c r="A12" s="12" t="s">
        <v>315</v>
      </c>
      <c r="B12" s="12"/>
      <c r="C12" s="12"/>
      <c r="D12" s="12"/>
      <c r="E12" s="12"/>
      <c r="F12" s="12"/>
      <c r="G12" s="12"/>
      <c r="H12" s="12"/>
      <c r="I12" s="12"/>
      <c r="J12" s="12"/>
    </row>
    <row r="13" spans="1:10" ht="15" customHeight="1" x14ac:dyDescent="0.25">
      <c r="A13" s="12" t="s">
        <v>316</v>
      </c>
      <c r="B13" s="12"/>
      <c r="C13" s="12"/>
      <c r="D13" s="12"/>
      <c r="E13" s="12"/>
      <c r="F13" s="12"/>
      <c r="G13" s="12"/>
      <c r="H13" s="12"/>
      <c r="I13" s="12"/>
      <c r="J13" s="12"/>
    </row>
  </sheetData>
  <mergeCells count="5">
    <mergeCell ref="A1:H1"/>
    <mergeCell ref="A2:H2"/>
    <mergeCell ref="A11:J11"/>
    <mergeCell ref="A12:J12"/>
    <mergeCell ref="A13:J13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zoomScale="90" zoomScaleNormal="90" workbookViewId="0">
      <pane ySplit="4" topLeftCell="A5" activePane="bottomLeft" state="frozen"/>
      <selection pane="bottomLeft" sqref="A1:H1"/>
    </sheetView>
  </sheetViews>
  <sheetFormatPr defaultColWidth="8.7109375" defaultRowHeight="15" customHeight="1" x14ac:dyDescent="0.25"/>
  <cols>
    <col min="1" max="1" width="28" style="15" customWidth="1"/>
    <col min="2" max="2" width="22" style="15" customWidth="1"/>
    <col min="3" max="3" width="75" style="15" customWidth="1"/>
  </cols>
  <sheetData>
    <row r="1" spans="1:8" ht="30" customHeight="1" x14ac:dyDescent="0.25">
      <c r="A1" s="14" t="s">
        <v>317</v>
      </c>
      <c r="B1" s="14"/>
      <c r="C1" s="14"/>
      <c r="D1" s="14"/>
      <c r="E1" s="14"/>
      <c r="F1" s="14"/>
      <c r="G1" s="14"/>
      <c r="H1" s="14"/>
    </row>
    <row r="2" spans="1:8" ht="19.5" customHeight="1" x14ac:dyDescent="0.25">
      <c r="A2" s="13" t="s">
        <v>318</v>
      </c>
      <c r="B2" s="13"/>
      <c r="C2" s="13"/>
      <c r="D2" s="13"/>
      <c r="E2" s="13"/>
      <c r="F2" s="13"/>
      <c r="G2" s="13"/>
      <c r="H2" s="13"/>
    </row>
    <row r="4" spans="1:8" ht="15" customHeight="1" x14ac:dyDescent="0.25">
      <c r="A4" s="16" t="s">
        <v>319</v>
      </c>
      <c r="B4" s="16" t="s">
        <v>320</v>
      </c>
      <c r="C4" s="16" t="s">
        <v>321</v>
      </c>
    </row>
    <row r="5" spans="1:8" ht="15" customHeight="1" x14ac:dyDescent="0.25">
      <c r="A5" s="17" t="s">
        <v>258</v>
      </c>
      <c r="B5" s="19">
        <f>SUM(Investment_Master!J5:J154)</f>
        <v>3786560000</v>
      </c>
      <c r="C5" s="25" t="s">
        <v>322</v>
      </c>
    </row>
    <row r="6" spans="1:8" ht="15" customHeight="1" x14ac:dyDescent="0.25">
      <c r="A6" s="17" t="s">
        <v>323</v>
      </c>
      <c r="B6" s="19">
        <f>SUM(Investment_Master!Q5:Q154)</f>
        <v>4289597676.9727354</v>
      </c>
      <c r="C6" s="25" t="s">
        <v>324</v>
      </c>
    </row>
    <row r="7" spans="1:8" ht="15" customHeight="1" x14ac:dyDescent="0.25">
      <c r="A7" s="17" t="s">
        <v>325</v>
      </c>
      <c r="B7" s="19">
        <f>SUM(Investment_Master!R5:R154)</f>
        <v>503037676.97273415</v>
      </c>
      <c r="C7" s="25" t="s">
        <v>326</v>
      </c>
    </row>
    <row r="8" spans="1:8" ht="15" customHeight="1" x14ac:dyDescent="0.25">
      <c r="A8" s="17" t="s">
        <v>327</v>
      </c>
      <c r="B8" s="20">
        <f>AVERAGE(Investment_Master!S5:S154)</f>
        <v>0.13127100879311865</v>
      </c>
      <c r="C8" s="25" t="s">
        <v>328</v>
      </c>
    </row>
    <row r="9" spans="1:8" ht="15" customHeight="1" x14ac:dyDescent="0.25">
      <c r="A9" s="17" t="s">
        <v>329</v>
      </c>
      <c r="B9" s="20">
        <f>AVERAGE(Investment_Master!T5:T154)</f>
        <v>0.19319999999999982</v>
      </c>
      <c r="C9" s="25" t="s">
        <v>330</v>
      </c>
    </row>
    <row r="10" spans="1:8" ht="15" customHeight="1" x14ac:dyDescent="0.25">
      <c r="A10" s="17" t="s">
        <v>261</v>
      </c>
      <c r="B10" s="20">
        <f>B8-B9</f>
        <v>-6.1928991206881168E-2</v>
      </c>
      <c r="C10" s="25" t="s">
        <v>331</v>
      </c>
    </row>
    <row r="11" spans="1:8" ht="15" customHeight="1" x14ac:dyDescent="0.25">
      <c r="A11" s="17" t="s">
        <v>332</v>
      </c>
      <c r="B11" s="19">
        <f>SUM(NPV_IRR!K5:K154)</f>
        <v>-567463067.46212697</v>
      </c>
      <c r="C11" s="25" t="s">
        <v>333</v>
      </c>
    </row>
    <row r="12" spans="1:8" ht="15" customHeight="1" x14ac:dyDescent="0.25">
      <c r="A12" s="17" t="s">
        <v>334</v>
      </c>
      <c r="B12" s="20">
        <f>AVERAGE(NPV_IRR!L5:L154)</f>
        <v>4.1955676881243006E-2</v>
      </c>
      <c r="C12" s="25" t="s">
        <v>335</v>
      </c>
    </row>
    <row r="13" spans="1:8" ht="15" customHeight="1" x14ac:dyDescent="0.25">
      <c r="A13" s="17" t="s">
        <v>336</v>
      </c>
      <c r="B13" s="21">
        <f>AVERAGE(NPV_IRR!M5:M154)</f>
        <v>4.4564971274594782</v>
      </c>
      <c r="C13" s="25" t="s">
        <v>337</v>
      </c>
    </row>
    <row r="14" spans="1:8" ht="15" customHeight="1" x14ac:dyDescent="0.25">
      <c r="A14" s="17" t="s">
        <v>338</v>
      </c>
      <c r="B14" s="26">
        <f>COUNTIF(Investment_Master!AH5:AH154,"*Above Target*")</f>
        <v>30</v>
      </c>
      <c r="C14" s="25" t="s">
        <v>339</v>
      </c>
    </row>
    <row r="15" spans="1:8" ht="15" customHeight="1" x14ac:dyDescent="0.25">
      <c r="A15" s="17" t="s">
        <v>340</v>
      </c>
      <c r="B15" s="26">
        <f>COUNTIF(Investment_Master!AH5:AH154,"*Below Target*")</f>
        <v>100</v>
      </c>
      <c r="C15" s="25" t="s">
        <v>341</v>
      </c>
    </row>
    <row r="16" spans="1:8" ht="15" customHeight="1" x14ac:dyDescent="0.25">
      <c r="A16" s="17" t="s">
        <v>342</v>
      </c>
      <c r="B16" s="26">
        <f>COUNTIF(Budget_vs_Actual!I5:I154,"Within Budget")</f>
        <v>77</v>
      </c>
      <c r="C16" s="25" t="s">
        <v>343</v>
      </c>
    </row>
    <row r="17" spans="1:3" ht="15" customHeight="1" x14ac:dyDescent="0.25">
      <c r="A17" s="17" t="s">
        <v>344</v>
      </c>
      <c r="B17" s="26">
        <f>COUNTIF(Budget_vs_Actual!I5:I154,"Significant Overrun")</f>
        <v>27</v>
      </c>
      <c r="C17" s="25" t="s">
        <v>345</v>
      </c>
    </row>
    <row r="18" spans="1:3" ht="15" customHeight="1" x14ac:dyDescent="0.25">
      <c r="A18" s="17" t="s">
        <v>346</v>
      </c>
      <c r="B18" s="26">
        <f>COUNTIF(Investment_Master!AA5:AA154,"High")</f>
        <v>50</v>
      </c>
      <c r="C18" s="25" t="s">
        <v>347</v>
      </c>
    </row>
    <row r="19" spans="1:3" ht="15" customHeight="1" x14ac:dyDescent="0.25">
      <c r="A19" s="17" t="s">
        <v>348</v>
      </c>
      <c r="B19" s="22">
        <f>AVERAGE(Investment_Master!AG5:AG154)</f>
        <v>54.625713001912629</v>
      </c>
      <c r="C19" s="25" t="s">
        <v>349</v>
      </c>
    </row>
  </sheetData>
  <mergeCells count="2">
    <mergeCell ref="A1:H1"/>
    <mergeCell ref="A2:H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24"/>
  <sheetViews>
    <sheetView showGridLines="0" tabSelected="1" zoomScale="90" zoomScaleNormal="90" workbookViewId="0">
      <pane ySplit="3" topLeftCell="A4" activePane="bottomLeft" state="frozen"/>
      <selection pane="bottomLeft" activeCell="K56" sqref="K56"/>
    </sheetView>
  </sheetViews>
  <sheetFormatPr defaultColWidth="8.7109375" defaultRowHeight="15" customHeight="1" x14ac:dyDescent="0.25"/>
  <cols>
    <col min="1" max="1" width="22" style="15" customWidth="1"/>
    <col min="2" max="3" width="18" style="15" customWidth="1"/>
    <col min="4" max="10" width="14" style="15" customWidth="1"/>
    <col min="11" max="11" width="26" style="15" customWidth="1"/>
    <col min="12" max="13" width="12" style="15" customWidth="1"/>
    <col min="14" max="14" width="14" style="15" customWidth="1"/>
  </cols>
  <sheetData>
    <row r="1" spans="1:14" ht="15" customHeight="1" x14ac:dyDescent="0.25">
      <c r="A1" s="11" t="s">
        <v>350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5" customHeight="1" x14ac:dyDescent="0.25">
      <c r="A3" s="10" t="s">
        <v>351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5" spans="1:14" ht="15" customHeight="1" x14ac:dyDescent="0.25">
      <c r="A5" s="9" t="s">
        <v>258</v>
      </c>
      <c r="B5" s="9"/>
      <c r="C5" s="9"/>
      <c r="D5" s="9" t="s">
        <v>309</v>
      </c>
      <c r="E5" s="9"/>
      <c r="F5" s="9"/>
      <c r="G5" s="9" t="s">
        <v>327</v>
      </c>
      <c r="H5" s="9"/>
      <c r="I5" s="9"/>
      <c r="J5" s="9" t="s">
        <v>332</v>
      </c>
      <c r="K5" s="9"/>
      <c r="L5" s="9"/>
      <c r="M5" s="9" t="s">
        <v>338</v>
      </c>
      <c r="N5" s="9"/>
    </row>
    <row r="6" spans="1:14" ht="19.5" customHeight="1" x14ac:dyDescent="0.25">
      <c r="A6" s="8">
        <f>KPI_Summary!B5</f>
        <v>3786560000</v>
      </c>
      <c r="B6" s="8"/>
      <c r="C6" s="8"/>
      <c r="D6" s="8">
        <f>KPI_Summary!B6</f>
        <v>4289597676.9727354</v>
      </c>
      <c r="E6" s="8"/>
      <c r="F6" s="8"/>
      <c r="G6" s="7">
        <f>KPI_Summary!B8</f>
        <v>0.13127100879311865</v>
      </c>
      <c r="H6" s="7"/>
      <c r="I6" s="7"/>
      <c r="J6" s="8">
        <f>KPI_Summary!B11</f>
        <v>-567463067.46212697</v>
      </c>
      <c r="K6" s="8"/>
      <c r="L6" s="8"/>
      <c r="M6" s="6">
        <f>KPI_Summary!B14</f>
        <v>30</v>
      </c>
      <c r="N6" s="6"/>
    </row>
    <row r="7" spans="1:14" ht="15" customHeight="1" x14ac:dyDescent="0.25">
      <c r="A7" s="8"/>
      <c r="B7" s="8"/>
      <c r="C7" s="8"/>
      <c r="D7" s="8"/>
      <c r="E7" s="8"/>
      <c r="F7" s="8"/>
      <c r="G7" s="7"/>
      <c r="H7" s="7"/>
      <c r="I7" s="7"/>
      <c r="J7" s="8"/>
      <c r="K7" s="8"/>
      <c r="L7" s="8"/>
      <c r="M7" s="9" t="s">
        <v>340</v>
      </c>
      <c r="N7" s="9"/>
    </row>
    <row r="8" spans="1:14" ht="15" customHeight="1" x14ac:dyDescent="0.25">
      <c r="A8" s="5" t="s">
        <v>352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</row>
    <row r="9" spans="1:14" ht="15" customHeight="1" x14ac:dyDescent="0.25">
      <c r="A9" s="27" t="s">
        <v>353</v>
      </c>
      <c r="C9" s="27" t="s">
        <v>5</v>
      </c>
      <c r="E9" s="27" t="s">
        <v>6</v>
      </c>
      <c r="G9" s="27" t="s">
        <v>257</v>
      </c>
      <c r="I9" s="27" t="s">
        <v>354</v>
      </c>
      <c r="K9" s="27" t="s">
        <v>283</v>
      </c>
    </row>
    <row r="10" spans="1:14" ht="15" customHeight="1" x14ac:dyDescent="0.25">
      <c r="A10" s="28" t="s">
        <v>355</v>
      </c>
      <c r="B10" s="29" t="s">
        <v>356</v>
      </c>
      <c r="C10" s="28" t="s">
        <v>355</v>
      </c>
      <c r="D10" s="30"/>
      <c r="E10" s="28" t="s">
        <v>355</v>
      </c>
      <c r="F10" s="29" t="s">
        <v>356</v>
      </c>
      <c r="G10" s="28" t="s">
        <v>355</v>
      </c>
      <c r="H10" s="29" t="s">
        <v>356</v>
      </c>
      <c r="I10" s="28" t="s">
        <v>355</v>
      </c>
      <c r="J10" s="29" t="s">
        <v>357</v>
      </c>
      <c r="K10" s="28" t="s">
        <v>355</v>
      </c>
    </row>
    <row r="11" spans="1:14" ht="15" customHeight="1" x14ac:dyDescent="0.25">
      <c r="A11" s="30" t="s">
        <v>20</v>
      </c>
      <c r="B11" s="31">
        <f>SUMIF(Investment_Master!$C$5:$C$154,A11,Investment_Master!$J$5:$J$154)</f>
        <v>446040000</v>
      </c>
      <c r="C11" s="32">
        <f>IFERROR(SUMIF(Investment_Master!$C$5:$C$154,A11,Investment_Master!$R$5:$R$154)/SUMIF(Investment_Master!$C$5:$C$154,A11,Investment_Master!$J$5:$J$154),0)</f>
        <v>0.21142614031344883</v>
      </c>
      <c r="D11" s="30"/>
      <c r="E11" s="30" t="s">
        <v>48</v>
      </c>
      <c r="F11" s="31">
        <f>SUMIF(Investment_Master!$D$5:$D$154,E11,Investment_Master!$J$5:$J$154)</f>
        <v>504680000</v>
      </c>
      <c r="G11" s="30"/>
      <c r="H11" s="30" t="str">
        <f>INDEX(Investment_Master!$B$5:$B$154,MATCH(I11,Investment_Master!$S$5:$S$154,0))</f>
        <v>RPA Finance Rollout – North</v>
      </c>
      <c r="I11" s="32">
        <f>LARGE(Investment_Master!$S$5:$S$154,1)</f>
        <v>0.44575724487207546</v>
      </c>
      <c r="J11" s="33">
        <f>INDEX(Investment_Master!$AG$5:$AG$154,MATCH(I11,Investment_Master!$S$5:$S$154,0))</f>
        <v>76.680713690068259</v>
      </c>
      <c r="K11" s="30" t="str">
        <f>INDEX(Investment_Master!$AA$5:$AA$154,MATCH(I11,Investment_Master!$S$5:$S$154,0))</f>
        <v>Low</v>
      </c>
    </row>
    <row r="12" spans="1:14" ht="15" customHeight="1" x14ac:dyDescent="0.25">
      <c r="A12" s="30" t="s">
        <v>27</v>
      </c>
      <c r="B12" s="31">
        <f>SUMIF(Investment_Master!$C$5:$C$154,A12,Investment_Master!$J$5:$J$154)</f>
        <v>265060000</v>
      </c>
      <c r="C12" s="32">
        <f>IFERROR(SUMIF(Investment_Master!$C$5:$C$154,A12,Investment_Master!$R$5:$R$154)/SUMIF(Investment_Master!$C$5:$C$154,A12,Investment_Master!$J$5:$J$154),0)</f>
        <v>0.17879474147685634</v>
      </c>
      <c r="D12" s="30"/>
      <c r="E12" s="30" t="s">
        <v>27</v>
      </c>
      <c r="F12" s="31">
        <f>SUMIF(Investment_Master!$D$5:$D$154,E12,Investment_Master!$J$5:$J$154)</f>
        <v>692480000</v>
      </c>
      <c r="G12" s="30"/>
      <c r="H12" s="30" t="str">
        <f>INDEX(Investment_Master!$B$5:$B$154,MATCH(I12,Investment_Master!$S$5:$S$154,0))</f>
        <v>RPA Finance Rollout – East</v>
      </c>
      <c r="I12" s="32">
        <f>LARGE(Investment_Master!$S$5:$S$154,2)</f>
        <v>0.38734790407986663</v>
      </c>
      <c r="J12" s="33">
        <f>INDEX(Investment_Master!$AG$5:$AG$154,MATCH(I12,Investment_Master!$S$5:$S$154,0))</f>
        <v>71.480531388837989</v>
      </c>
      <c r="K12" s="30" t="str">
        <f>INDEX(Investment_Master!$AA$5:$AA$154,MATCH(I12,Investment_Master!$S$5:$S$154,0))</f>
        <v>Medium</v>
      </c>
    </row>
    <row r="13" spans="1:14" ht="15" customHeight="1" x14ac:dyDescent="0.25">
      <c r="A13" s="30" t="s">
        <v>34</v>
      </c>
      <c r="B13" s="31">
        <f>SUMIF(Investment_Master!$C$5:$C$154,A13,Investment_Master!$J$5:$J$154)</f>
        <v>535570000</v>
      </c>
      <c r="C13" s="32">
        <f>IFERROR(SUMIF(Investment_Master!$C$5:$C$154,A13,Investment_Master!$R$5:$R$154)/SUMIF(Investment_Master!$C$5:$C$154,A13,Investment_Master!$J$5:$J$154),0)</f>
        <v>6.9627858832269005E-2</v>
      </c>
      <c r="D13" s="30"/>
      <c r="E13" s="30" t="s">
        <v>35</v>
      </c>
      <c r="F13" s="31">
        <f>SUMIF(Investment_Master!$D$5:$D$154,E13,Investment_Master!$J$5:$J$154)</f>
        <v>535570000</v>
      </c>
      <c r="G13" s="30"/>
      <c r="H13" s="30" t="str">
        <f>INDEX(Investment_Master!$B$5:$B$154,MATCH(I13,Investment_Master!$S$5:$S$154,0))</f>
        <v>RPA Finance Rollout – Central</v>
      </c>
      <c r="I13" s="32">
        <f>LARGE(Investment_Master!$S$5:$S$154,3)</f>
        <v>0.33259576132521496</v>
      </c>
      <c r="J13" s="33">
        <f>INDEX(Investment_Master!$AG$5:$AG$154,MATCH(I13,Investment_Master!$S$5:$S$154,0))</f>
        <v>68.321281225828216</v>
      </c>
      <c r="K13" s="30" t="str">
        <f>INDEX(Investment_Master!$AA$5:$AA$154,MATCH(I13,Investment_Master!$S$5:$S$154,0))</f>
        <v>Low</v>
      </c>
    </row>
    <row r="14" spans="1:14" ht="15" customHeight="1" x14ac:dyDescent="0.25">
      <c r="A14" s="30" t="s">
        <v>41</v>
      </c>
      <c r="B14" s="31">
        <f>SUMIF(Investment_Master!$C$5:$C$154,A14,Investment_Master!$J$5:$J$154)</f>
        <v>781850000</v>
      </c>
      <c r="C14" s="32">
        <f>IFERROR(SUMIF(Investment_Master!$C$5:$C$154,A14,Investment_Master!$R$5:$R$154)/SUMIF(Investment_Master!$C$5:$C$154,A14,Investment_Master!$J$5:$J$154),0)</f>
        <v>0.11372768897155552</v>
      </c>
      <c r="D14" s="30"/>
      <c r="E14" s="30" t="s">
        <v>53</v>
      </c>
      <c r="F14" s="31">
        <f>SUMIF(Investment_Master!$D$5:$D$154,E14,Investment_Master!$J$5:$J$154)</f>
        <v>427770000</v>
      </c>
      <c r="G14" s="30"/>
      <c r="H14" s="30" t="str">
        <f>INDEX(Investment_Master!$B$5:$B$154,MATCH(I14,Investment_Master!$S$5:$S$154,0))</f>
        <v>ERP Cloud Migration – West</v>
      </c>
      <c r="I14" s="32">
        <f>LARGE(Investment_Master!$S$5:$S$154,4)</f>
        <v>0.32455102756953197</v>
      </c>
      <c r="J14" s="33">
        <f>INDEX(Investment_Master!$AG$5:$AG$154,MATCH(I14,Investment_Master!$S$5:$S$154,0))</f>
        <v>71.414852446383719</v>
      </c>
      <c r="K14" s="30" t="str">
        <f>INDEX(Investment_Master!$AA$5:$AA$154,MATCH(I14,Investment_Master!$S$5:$S$154,0))</f>
        <v>Medium</v>
      </c>
    </row>
    <row r="15" spans="1:14" ht="15" customHeight="1" x14ac:dyDescent="0.25">
      <c r="A15" s="30" t="s">
        <v>47</v>
      </c>
      <c r="B15" s="31">
        <f>SUMIF(Investment_Master!$C$5:$C$154,A15,Investment_Master!$J$5:$J$154)</f>
        <v>504680000</v>
      </c>
      <c r="C15" s="32">
        <f>IFERROR(SUMIF(Investment_Master!$C$5:$C$154,A15,Investment_Master!$R$5:$R$154)/SUMIF(Investment_Master!$C$5:$C$154,A15,Investment_Master!$J$5:$J$154),0)</f>
        <v>0.15081830925051731</v>
      </c>
      <c r="D15" s="30"/>
      <c r="E15" s="30" t="s">
        <v>21</v>
      </c>
      <c r="F15" s="31">
        <f>SUMIF(Investment_Master!$D$5:$D$154,E15,Investment_Master!$J$5:$J$154)</f>
        <v>446040000</v>
      </c>
      <c r="G15" s="30"/>
      <c r="H15" s="30" t="str">
        <f>INDEX(Investment_Master!$B$5:$B$154,MATCH(I15,Investment_Master!$S$5:$S$154,0))</f>
        <v>RPA Finance Rollout – South</v>
      </c>
      <c r="I15" s="32">
        <f>LARGE(Investment_Master!$S$5:$S$154,5)</f>
        <v>0.31206338386321308</v>
      </c>
      <c r="J15" s="33">
        <f>INDEX(Investment_Master!$AG$5:$AG$154,MATCH(I15,Investment_Master!$S$5:$S$154,0))</f>
        <v>63.976948893540673</v>
      </c>
      <c r="K15" s="30" t="str">
        <f>INDEX(Investment_Master!$AA$5:$AA$154,MATCH(I15,Investment_Master!$S$5:$S$154,0))</f>
        <v>Medium</v>
      </c>
    </row>
    <row r="16" spans="1:14" ht="15" customHeight="1" x14ac:dyDescent="0.25">
      <c r="A16" s="30" t="s">
        <v>52</v>
      </c>
      <c r="B16" s="31">
        <f>SUMIF(Investment_Master!$C$5:$C$154,A16,Investment_Master!$J$5:$J$154)</f>
        <v>427770000</v>
      </c>
      <c r="C16" s="32">
        <f>IFERROR(SUMIF(Investment_Master!$C$5:$C$154,A16,Investment_Master!$R$5:$R$154)/SUMIF(Investment_Master!$C$5:$C$154,A16,Investment_Master!$J$5:$J$154),0)</f>
        <v>0.22352301381103648</v>
      </c>
      <c r="D16" s="30"/>
      <c r="E16" s="30" t="s">
        <v>42</v>
      </c>
      <c r="F16" s="31">
        <f>SUMIF(Investment_Master!$D$5:$D$154,E16,Investment_Master!$J$5:$J$154)</f>
        <v>781850000</v>
      </c>
      <c r="G16" s="30"/>
      <c r="H16" s="30"/>
      <c r="I16" s="30"/>
      <c r="J16" s="30"/>
      <c r="K16" s="30"/>
    </row>
    <row r="17" spans="1:14" ht="15" customHeight="1" x14ac:dyDescent="0.25">
      <c r="A17" s="30" t="s">
        <v>56</v>
      </c>
      <c r="B17" s="31">
        <f>SUMIF(Investment_Master!$C$5:$C$154,A17,Investment_Master!$J$5:$J$154)</f>
        <v>133110000</v>
      </c>
      <c r="C17" s="32">
        <f>IFERROR(SUMIF(Investment_Master!$C$5:$C$154,A17,Investment_Master!$R$5:$R$154)/SUMIF(Investment_Master!$C$5:$C$154,A17,Investment_Master!$J$5:$J$154),0)</f>
        <v>-1.169621950326037E-2</v>
      </c>
      <c r="D17" s="30"/>
      <c r="E17" s="30" t="s">
        <v>57</v>
      </c>
      <c r="F17" s="31">
        <f>SUMIF(Investment_Master!$D$5:$D$154,E17,Investment_Master!$J$5:$J$154)</f>
        <v>133110000</v>
      </c>
      <c r="G17" s="30"/>
      <c r="H17" s="30"/>
      <c r="I17" s="30"/>
      <c r="J17" s="30"/>
      <c r="K17" s="30"/>
    </row>
    <row r="18" spans="1:14" ht="15" customHeight="1" x14ac:dyDescent="0.25">
      <c r="A18" s="30" t="s">
        <v>60</v>
      </c>
      <c r="B18" s="31">
        <f>SUMIF(Investment_Master!$C$5:$C$154,A18,Investment_Master!$J$5:$J$154)</f>
        <v>692480000</v>
      </c>
      <c r="C18" s="32">
        <f>IFERROR(SUMIF(Investment_Master!$C$5:$C$154,A18,Investment_Master!$R$5:$R$154)/SUMIF(Investment_Master!$C$5:$C$154,A18,Investment_Master!$J$5:$J$154),0)</f>
        <v>9.3805887595078088E-2</v>
      </c>
      <c r="D18" s="30"/>
      <c r="E18" s="30" t="s">
        <v>28</v>
      </c>
      <c r="F18" s="31">
        <f>SUMIF(Investment_Master!$D$5:$D$154,E18,Investment_Master!$J$5:$J$154)</f>
        <v>265060000</v>
      </c>
      <c r="G18" s="30"/>
      <c r="H18" s="30"/>
      <c r="I18" s="30"/>
      <c r="J18" s="30"/>
      <c r="K18" s="30"/>
    </row>
    <row r="19" spans="1:14" ht="15" customHeight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</row>
    <row r="20" spans="1:14" ht="15" customHeight="1" x14ac:dyDescent="0.25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spans="1:14" ht="15" customHeight="1" x14ac:dyDescent="0.25">
      <c r="A21" s="29" t="s">
        <v>354</v>
      </c>
      <c r="B21" s="29" t="s">
        <v>358</v>
      </c>
      <c r="C21" s="29" t="s">
        <v>359</v>
      </c>
      <c r="D21" s="30"/>
      <c r="E21" s="29" t="s">
        <v>360</v>
      </c>
      <c r="F21" s="29" t="s">
        <v>259</v>
      </c>
      <c r="G21" s="30"/>
      <c r="H21" s="29" t="s">
        <v>361</v>
      </c>
      <c r="I21" s="29" t="s">
        <v>362</v>
      </c>
      <c r="J21" s="29" t="s">
        <v>363</v>
      </c>
      <c r="K21" s="30"/>
      <c r="M21" s="34" t="s">
        <v>364</v>
      </c>
      <c r="N21" s="34" t="s">
        <v>259</v>
      </c>
    </row>
    <row r="22" spans="1:14" ht="15" customHeight="1" x14ac:dyDescent="0.25">
      <c r="A22" s="30" t="s">
        <v>24</v>
      </c>
      <c r="B22" s="32">
        <f>AVERAGEIF(Investment_Master!$AA$5:$AA$154,A22,Investment_Master!$S$5:$S$154)</f>
        <v>0.15029805271471131</v>
      </c>
      <c r="C22" s="30">
        <f>COUNTIF(Investment_Master!$AA$5:$AA$154,A22)</f>
        <v>50</v>
      </c>
      <c r="D22" s="30"/>
      <c r="E22" s="30" t="s">
        <v>365</v>
      </c>
      <c r="F22" s="32">
        <f>AVERAGE(Investment_Master!$S$5:$S$22)</f>
        <v>0.17701204448524105</v>
      </c>
      <c r="G22" s="30"/>
      <c r="H22" s="30" t="s">
        <v>366</v>
      </c>
      <c r="I22" s="31">
        <f>SUM(Investment_Master!K5:K154)</f>
        <v>3811500000</v>
      </c>
      <c r="J22" s="31">
        <f>SUM(Investment_Master!J5:J154)</f>
        <v>3786560000</v>
      </c>
      <c r="K22" s="30"/>
      <c r="M22" s="15">
        <f>IF(Investment_Master!AA5="Low",1,IF(Investment_Master!AA5="Medium",2,3))</f>
        <v>1</v>
      </c>
      <c r="N22" s="35">
        <f>Investment_Master!S5</f>
        <v>0.26630301447107113</v>
      </c>
    </row>
    <row r="23" spans="1:14" ht="15" customHeight="1" x14ac:dyDescent="0.25">
      <c r="A23" s="30" t="s">
        <v>38</v>
      </c>
      <c r="B23" s="32">
        <f>AVERAGEIF(Investment_Master!$AA$5:$AA$154,A23,Investment_Master!$S$5:$S$154)</f>
        <v>0.14064666354112876</v>
      </c>
      <c r="C23" s="30">
        <f>COUNTIF(Investment_Master!$AA$5:$AA$154,A23)</f>
        <v>50</v>
      </c>
      <c r="D23" s="30"/>
      <c r="E23" s="30" t="s">
        <v>367</v>
      </c>
      <c r="F23" s="32">
        <f>AVERAGE(Investment_Master!$S$23:$S$40)</f>
        <v>0.13013303343183613</v>
      </c>
      <c r="G23" s="30"/>
      <c r="H23" s="30"/>
      <c r="I23" s="30"/>
      <c r="J23" s="30"/>
      <c r="K23" s="30"/>
      <c r="M23" s="15">
        <f>IF(Investment_Master!AA6="Low",1,IF(Investment_Master!AA6="Medium",2,3))</f>
        <v>3</v>
      </c>
      <c r="N23" s="35">
        <f>Investment_Master!S6</f>
        <v>0.17740180510776535</v>
      </c>
    </row>
    <row r="24" spans="1:14" ht="15" customHeight="1" x14ac:dyDescent="0.25">
      <c r="A24" s="30" t="s">
        <v>31</v>
      </c>
      <c r="B24" s="32">
        <f>AVERAGEIF(Investment_Master!$AA$5:$AA$154,A24,Investment_Master!$S$5:$S$154)</f>
        <v>0.10286831012351605</v>
      </c>
      <c r="C24" s="30">
        <f>COUNTIF(Investment_Master!$AA$5:$AA$154,A24)</f>
        <v>50</v>
      </c>
      <c r="D24" s="30"/>
      <c r="E24" s="30" t="s">
        <v>368</v>
      </c>
      <c r="F24" s="32">
        <f>AVERAGE(Investment_Master!$S$41:$S$58)</f>
        <v>0.1362498784413409</v>
      </c>
      <c r="G24" s="30"/>
      <c r="H24" s="30"/>
      <c r="I24" s="30"/>
      <c r="J24" s="30"/>
      <c r="K24" s="30"/>
      <c r="M24" s="15">
        <f>IF(Investment_Master!AA7="Low",1,IF(Investment_Master!AA7="Medium",2,3))</f>
        <v>2</v>
      </c>
      <c r="N24" s="35">
        <f>Investment_Master!S7</f>
        <v>0.1980882142976895</v>
      </c>
    </row>
    <row r="25" spans="1:14" ht="15" customHeight="1" x14ac:dyDescent="0.25">
      <c r="A25" s="30"/>
      <c r="B25" s="30"/>
      <c r="C25" s="30"/>
      <c r="D25" s="30"/>
      <c r="E25" s="30" t="s">
        <v>369</v>
      </c>
      <c r="F25" s="32">
        <f>AVERAGE(Investment_Master!$S$59:$S$76)</f>
        <v>0.10473684296149152</v>
      </c>
      <c r="G25" s="30"/>
      <c r="H25" s="30"/>
      <c r="I25" s="30"/>
      <c r="J25" s="30"/>
      <c r="K25" s="30"/>
      <c r="M25" s="15">
        <f>IF(Investment_Master!AA8="Low",1,IF(Investment_Master!AA8="Medium",2,3))</f>
        <v>1</v>
      </c>
      <c r="N25" s="35">
        <f>Investment_Master!S8</f>
        <v>0.20683139231252451</v>
      </c>
    </row>
    <row r="26" spans="1:14" ht="15" customHeight="1" x14ac:dyDescent="0.25">
      <c r="A26" s="30"/>
      <c r="B26" s="30"/>
      <c r="C26" s="30"/>
      <c r="D26" s="30"/>
      <c r="E26" s="30" t="s">
        <v>370</v>
      </c>
      <c r="F26" s="32">
        <f>AVERAGE(Investment_Master!$S$77:$S$94)</f>
        <v>0.13513267147717151</v>
      </c>
      <c r="G26" s="30"/>
      <c r="H26" s="30"/>
      <c r="I26" s="30"/>
      <c r="J26" s="30"/>
      <c r="K26" s="30"/>
      <c r="M26" s="15">
        <f>IF(Investment_Master!AA9="Low",1,IF(Investment_Master!AA9="Medium",2,3))</f>
        <v>3</v>
      </c>
      <c r="N26" s="35">
        <f>Investment_Master!S9</f>
        <v>0.17518158170548837</v>
      </c>
    </row>
    <row r="27" spans="1:14" ht="15" customHeight="1" x14ac:dyDescent="0.25">
      <c r="A27" s="30"/>
      <c r="B27" s="30"/>
      <c r="C27" s="30"/>
      <c r="D27" s="30"/>
      <c r="E27" s="30" t="s">
        <v>371</v>
      </c>
      <c r="F27" s="32">
        <f>AVERAGE(Investment_Master!$S$95:$S$112)</f>
        <v>0.13030869659244151</v>
      </c>
      <c r="G27" s="30"/>
      <c r="H27" s="30"/>
      <c r="I27" s="30"/>
      <c r="J27" s="30"/>
      <c r="K27" s="30"/>
      <c r="M27" s="15">
        <f>IF(Investment_Master!AA10="Low",1,IF(Investment_Master!AA10="Medium",2,3))</f>
        <v>2</v>
      </c>
      <c r="N27" s="35">
        <f>Investment_Master!S10</f>
        <v>0.24912920747129533</v>
      </c>
    </row>
    <row r="28" spans="1:14" ht="15" customHeight="1" x14ac:dyDescent="0.25">
      <c r="A28" s="30"/>
      <c r="B28" s="30"/>
      <c r="C28" s="30"/>
      <c r="D28" s="30"/>
      <c r="E28" s="30" t="s">
        <v>372</v>
      </c>
      <c r="F28" s="32">
        <f>AVERAGE(Investment_Master!$S$113:$S$130)</f>
        <v>0.12936584712822563</v>
      </c>
      <c r="G28" s="30"/>
      <c r="H28" s="30"/>
      <c r="I28" s="30"/>
      <c r="J28" s="30"/>
      <c r="K28" s="30"/>
      <c r="M28" s="15">
        <f>IF(Investment_Master!AA11="Low",1,IF(Investment_Master!AA11="Medium",2,3))</f>
        <v>1</v>
      </c>
      <c r="N28" s="35">
        <f>Investment_Master!S11</f>
        <v>2.8790874699689589E-3</v>
      </c>
    </row>
    <row r="29" spans="1:14" ht="15" customHeight="1" x14ac:dyDescent="0.25">
      <c r="A29" s="30"/>
      <c r="B29" s="30"/>
      <c r="C29" s="30"/>
      <c r="D29" s="30"/>
      <c r="E29" s="30" t="s">
        <v>373</v>
      </c>
      <c r="F29" s="32">
        <f>AVERAGE(Investment_Master!$S$131:$S$148)</f>
        <v>0.10508675497116687</v>
      </c>
      <c r="G29" s="30"/>
      <c r="H29" s="30"/>
      <c r="I29" s="30"/>
      <c r="J29" s="30"/>
      <c r="K29" s="30"/>
      <c r="M29" s="15">
        <f>IF(Investment_Master!AA12="Low",1,IF(Investment_Master!AA12="Medium",2,3))</f>
        <v>3</v>
      </c>
      <c r="N29" s="35">
        <f>Investment_Master!S12</f>
        <v>0.11455006871241527</v>
      </c>
    </row>
    <row r="30" spans="1:14" ht="15" customHeight="1" x14ac:dyDescent="0.25">
      <c r="M30" s="15">
        <f>IF(Investment_Master!AA13="Low",1,IF(Investment_Master!AA13="Medium",2,3))</f>
        <v>2</v>
      </c>
      <c r="N30" s="35">
        <f>Investment_Master!S13</f>
        <v>0.30053204630780894</v>
      </c>
    </row>
    <row r="31" spans="1:14" ht="15" customHeight="1" x14ac:dyDescent="0.25">
      <c r="M31" s="15">
        <f>IF(Investment_Master!AA14="Low",1,IF(Investment_Master!AA14="Medium",2,3))</f>
        <v>1</v>
      </c>
      <c r="N31" s="35">
        <f>Investment_Master!S14</f>
        <v>0.23539867195576236</v>
      </c>
    </row>
    <row r="32" spans="1:14" ht="15" customHeight="1" x14ac:dyDescent="0.25">
      <c r="M32" s="15">
        <f>IF(Investment_Master!AA15="Low",1,IF(Investment_Master!AA15="Medium",2,3))</f>
        <v>3</v>
      </c>
      <c r="N32" s="35">
        <f>Investment_Master!S15</f>
        <v>6.2876581688889252E-2</v>
      </c>
    </row>
    <row r="33" spans="11:14" ht="15" customHeight="1" x14ac:dyDescent="0.25">
      <c r="M33" s="15">
        <f>IF(Investment_Master!AA16="Low",1,IF(Investment_Master!AA16="Medium",2,3))</f>
        <v>2</v>
      </c>
      <c r="N33" s="35">
        <f>Investment_Master!S16</f>
        <v>0.17726458391662378</v>
      </c>
    </row>
    <row r="34" spans="11:14" ht="15" customHeight="1" x14ac:dyDescent="0.25">
      <c r="M34" s="15">
        <f>IF(Investment_Master!AA17="Low",1,IF(Investment_Master!AA17="Medium",2,3))</f>
        <v>1</v>
      </c>
      <c r="N34" s="35">
        <f>Investment_Master!S17</f>
        <v>0.10400934300911467</v>
      </c>
    </row>
    <row r="35" spans="11:14" ht="15" customHeight="1" x14ac:dyDescent="0.25">
      <c r="M35" s="15">
        <f>IF(Investment_Master!AA18="Low",1,IF(Investment_Master!AA18="Medium",2,3))</f>
        <v>3</v>
      </c>
      <c r="N35" s="35">
        <f>Investment_Master!S18</f>
        <v>0.29833699302144528</v>
      </c>
    </row>
    <row r="36" spans="11:14" ht="15" customHeight="1" x14ac:dyDescent="0.25">
      <c r="M36" s="15">
        <f>IF(Investment_Master!AA19="Low",1,IF(Investment_Master!AA19="Medium",2,3))</f>
        <v>2</v>
      </c>
      <c r="N36" s="35">
        <f>Investment_Master!S19</f>
        <v>6.2889577719814668E-2</v>
      </c>
    </row>
    <row r="37" spans="11:14" ht="15" customHeight="1" x14ac:dyDescent="0.25">
      <c r="M37" s="15">
        <f>IF(Investment_Master!AA20="Low",1,IF(Investment_Master!AA20="Medium",2,3))</f>
        <v>1</v>
      </c>
      <c r="N37" s="35">
        <f>Investment_Master!S20</f>
        <v>0.16871676757097651</v>
      </c>
    </row>
    <row r="38" spans="11:14" ht="15" customHeight="1" x14ac:dyDescent="0.25">
      <c r="M38" s="15">
        <f>IF(Investment_Master!AA21="Low",1,IF(Investment_Master!AA21="Medium",2,3))</f>
        <v>3</v>
      </c>
      <c r="N38" s="35">
        <f>Investment_Master!S21</f>
        <v>0.23018514605189799</v>
      </c>
    </row>
    <row r="39" spans="11:14" ht="15" customHeight="1" x14ac:dyDescent="0.25">
      <c r="M39" s="15">
        <f>IF(Investment_Master!AA22="Low",1,IF(Investment_Master!AA22="Medium",2,3))</f>
        <v>2</v>
      </c>
      <c r="N39" s="35">
        <f>Investment_Master!S22</f>
        <v>0.15564271794378687</v>
      </c>
    </row>
    <row r="40" spans="11:14" ht="15" customHeight="1" x14ac:dyDescent="0.25">
      <c r="M40" s="15">
        <f>IF(Investment_Master!AA23="Low",1,IF(Investment_Master!AA23="Medium",2,3))</f>
        <v>1</v>
      </c>
      <c r="N40" s="35">
        <f>Investment_Master!S23</f>
        <v>5.400960209080221E-2</v>
      </c>
    </row>
    <row r="41" spans="11:14" ht="15" customHeight="1" x14ac:dyDescent="0.25">
      <c r="M41" s="15">
        <f>IF(Investment_Master!AA24="Low",1,IF(Investment_Master!AA24="Medium",2,3))</f>
        <v>3</v>
      </c>
      <c r="N41" s="35">
        <f>Investment_Master!S24</f>
        <v>4.786642928408983E-2</v>
      </c>
    </row>
    <row r="42" spans="11:14" ht="15" customHeight="1" x14ac:dyDescent="0.25">
      <c r="M42" s="15">
        <f>IF(Investment_Master!AA25="Low",1,IF(Investment_Master!AA25="Medium",2,3))</f>
        <v>2</v>
      </c>
      <c r="N42" s="35">
        <f>Investment_Master!S25</f>
        <v>0.14394119504249703</v>
      </c>
    </row>
    <row r="43" spans="11:14" ht="15" customHeight="1" x14ac:dyDescent="0.25">
      <c r="M43" s="15">
        <f>IF(Investment_Master!AA26="Low",1,IF(Investment_Master!AA26="Medium",2,3))</f>
        <v>1</v>
      </c>
      <c r="N43" s="35">
        <f>Investment_Master!S26</f>
        <v>0.22225073275770346</v>
      </c>
    </row>
    <row r="44" spans="11:14" ht="15" customHeight="1" x14ac:dyDescent="0.25">
      <c r="M44" s="15">
        <f>IF(Investment_Master!AA27="Low",1,IF(Investment_Master!AA27="Medium",2,3))</f>
        <v>3</v>
      </c>
      <c r="N44" s="35">
        <f>Investment_Master!S27</f>
        <v>-0.14335482749914427</v>
      </c>
    </row>
    <row r="45" spans="11:14" ht="15" customHeight="1" x14ac:dyDescent="0.25">
      <c r="M45" s="15">
        <f>IF(Investment_Master!AA28="Low",1,IF(Investment_Master!AA28="Medium",2,3))</f>
        <v>2</v>
      </c>
      <c r="N45" s="35">
        <f>Investment_Master!S28</f>
        <v>7.1530586598819057E-2</v>
      </c>
    </row>
    <row r="46" spans="11:14" ht="15" customHeight="1" x14ac:dyDescent="0.25">
      <c r="K46" s="24" t="s">
        <v>374</v>
      </c>
      <c r="M46" s="15">
        <f>IF(Investment_Master!AA29="Low",1,IF(Investment_Master!AA29="Medium",2,3))</f>
        <v>1</v>
      </c>
      <c r="N46" s="35">
        <f>Investment_Master!S29</f>
        <v>0.24548649412904022</v>
      </c>
    </row>
    <row r="47" spans="11:14" ht="15" customHeight="1" x14ac:dyDescent="0.25">
      <c r="K47" s="34" t="s">
        <v>356</v>
      </c>
      <c r="L47" s="34" t="s">
        <v>289</v>
      </c>
      <c r="M47" s="34" t="s">
        <v>357</v>
      </c>
      <c r="N47" s="36" t="s">
        <v>375</v>
      </c>
    </row>
    <row r="48" spans="11:14" ht="15" customHeight="1" x14ac:dyDescent="0.25">
      <c r="K48" s="17" t="str">
        <f t="shared" ref="K48:N52" si="0">H11</f>
        <v>RPA Finance Rollout – North</v>
      </c>
      <c r="L48" s="20">
        <f t="shared" si="0"/>
        <v>0.44575724487207546</v>
      </c>
      <c r="M48" s="22">
        <f t="shared" si="0"/>
        <v>76.680713690068259</v>
      </c>
      <c r="N48" s="20" t="str">
        <f t="shared" si="0"/>
        <v>Low</v>
      </c>
    </row>
    <row r="49" spans="1:14" ht="15" customHeight="1" x14ac:dyDescent="0.25">
      <c r="K49" s="17" t="str">
        <f t="shared" si="0"/>
        <v>RPA Finance Rollout – East</v>
      </c>
      <c r="L49" s="20">
        <f t="shared" si="0"/>
        <v>0.38734790407986663</v>
      </c>
      <c r="M49" s="22">
        <f t="shared" si="0"/>
        <v>71.480531388837989</v>
      </c>
      <c r="N49" s="20" t="str">
        <f t="shared" si="0"/>
        <v>Medium</v>
      </c>
    </row>
    <row r="50" spans="1:14" ht="15" customHeight="1" x14ac:dyDescent="0.25">
      <c r="K50" s="17" t="str">
        <f t="shared" si="0"/>
        <v>RPA Finance Rollout – Central</v>
      </c>
      <c r="L50" s="20">
        <f t="shared" si="0"/>
        <v>0.33259576132521496</v>
      </c>
      <c r="M50" s="22">
        <f t="shared" si="0"/>
        <v>68.321281225828216</v>
      </c>
      <c r="N50" s="20" t="str">
        <f t="shared" si="0"/>
        <v>Low</v>
      </c>
    </row>
    <row r="51" spans="1:14" ht="15" customHeight="1" x14ac:dyDescent="0.25">
      <c r="K51" s="17" t="str">
        <f t="shared" si="0"/>
        <v>ERP Cloud Migration – West</v>
      </c>
      <c r="L51" s="20">
        <f t="shared" si="0"/>
        <v>0.32455102756953197</v>
      </c>
      <c r="M51" s="22">
        <f t="shared" si="0"/>
        <v>71.414852446383719</v>
      </c>
      <c r="N51" s="20" t="str">
        <f t="shared" si="0"/>
        <v>Medium</v>
      </c>
    </row>
    <row r="52" spans="1:14" ht="15" customHeight="1" x14ac:dyDescent="0.25">
      <c r="K52" s="17" t="str">
        <f t="shared" si="0"/>
        <v>RPA Finance Rollout – South</v>
      </c>
      <c r="L52" s="20">
        <f t="shared" si="0"/>
        <v>0.31206338386321308</v>
      </c>
      <c r="M52" s="22">
        <f t="shared" si="0"/>
        <v>63.976948893540673</v>
      </c>
      <c r="N52" s="20" t="str">
        <f t="shared" si="0"/>
        <v>Medium</v>
      </c>
    </row>
    <row r="53" spans="1:14" ht="15" customHeight="1" x14ac:dyDescent="0.25">
      <c r="M53" s="15">
        <f>IF(Investment_Master!AA36="Low",1,IF(Investment_Master!AA36="Medium",2,3))</f>
        <v>3</v>
      </c>
      <c r="N53" s="35">
        <f>Investment_Master!S36</f>
        <v>-5.0894322740367287E-3</v>
      </c>
    </row>
    <row r="54" spans="1:14" ht="15" customHeight="1" x14ac:dyDescent="0.25">
      <c r="M54" s="15">
        <f>IF(Investment_Master!AA37="Low",1,IF(Investment_Master!AA37="Medium",2,3))</f>
        <v>2</v>
      </c>
      <c r="N54" s="35">
        <f>Investment_Master!S37</f>
        <v>0.32455102756953197</v>
      </c>
    </row>
    <row r="55" spans="1:14" ht="15" customHeight="1" x14ac:dyDescent="0.25">
      <c r="M55" s="15">
        <f>IF(Investment_Master!AA38="Low",1,IF(Investment_Master!AA38="Medium",2,3))</f>
        <v>1</v>
      </c>
      <c r="N55" s="35">
        <f>Investment_Master!S38</f>
        <v>0.18814070772756702</v>
      </c>
    </row>
    <row r="56" spans="1:14" ht="15" customHeight="1" x14ac:dyDescent="0.25">
      <c r="M56" s="15">
        <f>IF(Investment_Master!AA39="Low",1,IF(Investment_Master!AA39="Medium",2,3))</f>
        <v>3</v>
      </c>
      <c r="N56" s="35">
        <f>Investment_Master!S39</f>
        <v>3.6960184494177255E-2</v>
      </c>
    </row>
    <row r="57" spans="1:14" ht="15" customHeight="1" x14ac:dyDescent="0.25">
      <c r="M57" s="15">
        <f>IF(Investment_Master!AA40="Low",1,IF(Investment_Master!AA40="Medium",2,3))</f>
        <v>2</v>
      </c>
      <c r="N57" s="35">
        <f>Investment_Master!S40</f>
        <v>0.16234013903712938</v>
      </c>
    </row>
    <row r="58" spans="1:14" ht="15" customHeight="1" x14ac:dyDescent="0.25">
      <c r="M58" s="15">
        <f>IF(Investment_Master!AA41="Low",1,IF(Investment_Master!AA41="Medium",2,3))</f>
        <v>1</v>
      </c>
      <c r="N58" s="35">
        <f>Investment_Master!S41</f>
        <v>0.15425585421859722</v>
      </c>
    </row>
    <row r="59" spans="1:14" ht="15" customHeight="1" x14ac:dyDescent="0.25">
      <c r="M59" s="15">
        <f>IF(Investment_Master!AA42="Low",1,IF(Investment_Master!AA42="Medium",2,3))</f>
        <v>3</v>
      </c>
      <c r="N59" s="35">
        <f>Investment_Master!S42</f>
        <v>6.7474471394015412E-2</v>
      </c>
    </row>
    <row r="60" spans="1:14" ht="15" customHeight="1" x14ac:dyDescent="0.25">
      <c r="M60" s="15">
        <f>IF(Investment_Master!AA43="Low",1,IF(Investment_Master!AA43="Medium",2,3))</f>
        <v>2</v>
      </c>
      <c r="N60" s="35">
        <f>Investment_Master!S43</f>
        <v>-5.1420046586137677E-2</v>
      </c>
    </row>
    <row r="61" spans="1:14" ht="17.25" customHeight="1" x14ac:dyDescent="0.25">
      <c r="A61" s="4" t="s">
        <v>376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 ht="24" customHeight="1" x14ac:dyDescent="0.25">
      <c r="A62" s="3" t="s">
        <v>377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1:14" ht="24" customHeight="1" x14ac:dyDescent="0.25">
      <c r="A63" s="3" t="s">
        <v>378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spans="1:14" ht="24" customHeight="1" x14ac:dyDescent="0.25">
      <c r="A64" s="3" t="s">
        <v>379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spans="1:14" ht="24" customHeight="1" x14ac:dyDescent="0.25">
      <c r="A65" s="3" t="s">
        <v>380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spans="1:14" ht="24" customHeight="1" x14ac:dyDescent="0.25">
      <c r="A66" s="3" t="s">
        <v>381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spans="1:14" ht="15" customHeight="1" x14ac:dyDescent="0.25">
      <c r="M67" s="15">
        <f>IF(Investment_Master!AA50="Low",1,IF(Investment_Master!AA50="Medium",2,3))</f>
        <v>1</v>
      </c>
      <c r="N67" s="35">
        <f>Investment_Master!S50</f>
        <v>0.33259576132521496</v>
      </c>
    </row>
    <row r="68" spans="1:14" ht="15" customHeight="1" x14ac:dyDescent="0.25">
      <c r="M68" s="15">
        <f>IF(Investment_Master!AA51="Low",1,IF(Investment_Master!AA51="Medium",2,3))</f>
        <v>3</v>
      </c>
      <c r="N68" s="35">
        <f>Investment_Master!S51</f>
        <v>2.7599303969155107E-3</v>
      </c>
    </row>
    <row r="69" spans="1:14" ht="15" customHeight="1" x14ac:dyDescent="0.25">
      <c r="M69" s="15">
        <f>IF(Investment_Master!AA52="Low",1,IF(Investment_Master!AA52="Medium",2,3))</f>
        <v>2</v>
      </c>
      <c r="N69" s="35">
        <f>Investment_Master!S52</f>
        <v>0.12894852582579402</v>
      </c>
    </row>
    <row r="70" spans="1:14" ht="15" customHeight="1" x14ac:dyDescent="0.25">
      <c r="M70" s="15">
        <f>IF(Investment_Master!AA53="Low",1,IF(Investment_Master!AA53="Medium",2,3))</f>
        <v>1</v>
      </c>
      <c r="N70" s="35">
        <f>Investment_Master!S53</f>
        <v>0.22512277121603688</v>
      </c>
    </row>
    <row r="71" spans="1:14" ht="15" customHeight="1" x14ac:dyDescent="0.25">
      <c r="M71" s="15">
        <f>IF(Investment_Master!AA54="Low",1,IF(Investment_Master!AA54="Medium",2,3))</f>
        <v>3</v>
      </c>
      <c r="N71" s="35">
        <f>Investment_Master!S54</f>
        <v>5.1337095977568983E-2</v>
      </c>
    </row>
    <row r="72" spans="1:14" ht="15" customHeight="1" x14ac:dyDescent="0.25">
      <c r="M72" s="15">
        <f>IF(Investment_Master!AA55="Low",1,IF(Investment_Master!AA55="Medium",2,3))</f>
        <v>2</v>
      </c>
      <c r="N72" s="35">
        <f>Investment_Master!S55</f>
        <v>0.14109803563256848</v>
      </c>
    </row>
    <row r="73" spans="1:14" ht="15" customHeight="1" x14ac:dyDescent="0.25">
      <c r="M73" s="15">
        <f>IF(Investment_Master!AA56="Low",1,IF(Investment_Master!AA56="Medium",2,3))</f>
        <v>1</v>
      </c>
      <c r="N73" s="35">
        <f>Investment_Master!S56</f>
        <v>0.19338337877604347</v>
      </c>
    </row>
    <row r="74" spans="1:14" ht="15" customHeight="1" x14ac:dyDescent="0.25">
      <c r="A74" s="37" t="s">
        <v>356</v>
      </c>
      <c r="B74" s="37" t="s">
        <v>301</v>
      </c>
      <c r="C74" s="38"/>
      <c r="D74" s="37" t="s">
        <v>257</v>
      </c>
      <c r="E74" s="37" t="s">
        <v>260</v>
      </c>
      <c r="F74" s="37" t="s">
        <v>259</v>
      </c>
      <c r="G74" s="38"/>
      <c r="H74" s="37" t="s">
        <v>356</v>
      </c>
      <c r="I74" s="37" t="s">
        <v>245</v>
      </c>
      <c r="J74" s="37" t="s">
        <v>275</v>
      </c>
      <c r="K74" s="38"/>
      <c r="L74" s="38"/>
      <c r="M74" s="38">
        <f>IF(Investment_Master!AA57="Low",1,IF(Investment_Master!AA57="Medium",2,3))</f>
        <v>3</v>
      </c>
      <c r="N74" s="39">
        <f>Investment_Master!S57</f>
        <v>0.20079185658831022</v>
      </c>
    </row>
    <row r="75" spans="1:14" ht="15" customHeight="1" x14ac:dyDescent="0.25">
      <c r="A75" s="40">
        <f>Investment_Master!J5</f>
        <v>36250000</v>
      </c>
      <c r="B75" s="40">
        <f>Investment_Master!Q5</f>
        <v>45903484.274576329</v>
      </c>
      <c r="C75" s="38"/>
      <c r="D75" s="38" t="s">
        <v>20</v>
      </c>
      <c r="E75" s="39">
        <f>AVERAGEIF(Investment_Master!$C$5:$C$154,D75,Investment_Master!$T$5:$T$154)</f>
        <v>0.20000000000000007</v>
      </c>
      <c r="F75" s="39">
        <f>IFERROR(SUMIF(Investment_Master!$C$5:$C$154,D75,Investment_Master!$R$5:$R$154)/SUMIF(Investment_Master!$C$5:$C$154,D75,Investment_Master!$J$5:$J$154),0)</f>
        <v>0.21142614031344883</v>
      </c>
      <c r="G75" s="38"/>
      <c r="H75" s="38" t="str">
        <f>Investment_Master!B5</f>
        <v>ERP Cloud Migration – Central</v>
      </c>
      <c r="I75" s="40">
        <f>NPV_IRR!K5</f>
        <v>-2319089.8739748523</v>
      </c>
      <c r="J75" s="39">
        <f>NPV_IRR!L5</f>
        <v>8.4238476632569448E-2</v>
      </c>
      <c r="K75" s="38"/>
      <c r="L75" s="38"/>
      <c r="M75" s="38">
        <f>IF(Investment_Master!AA58="Low",1,IF(Investment_Master!AA58="Medium",2,3))</f>
        <v>2</v>
      </c>
      <c r="N75" s="39">
        <f>Investment_Master!S58</f>
        <v>0.23473056949137708</v>
      </c>
    </row>
    <row r="76" spans="1:14" ht="15" customHeight="1" x14ac:dyDescent="0.25">
      <c r="A76" s="40">
        <f>Investment_Master!J6</f>
        <v>8020000</v>
      </c>
      <c r="B76" s="40">
        <f>Investment_Master!Q6</f>
        <v>9442762.4769642781</v>
      </c>
      <c r="C76" s="38"/>
      <c r="D76" s="38" t="s">
        <v>27</v>
      </c>
      <c r="E76" s="39">
        <f>AVERAGEIF(Investment_Master!$C$5:$C$154,D76,Investment_Master!$T$5:$T$154)</f>
        <v>0.22000000000000008</v>
      </c>
      <c r="F76" s="39">
        <f>IFERROR(SUMIF(Investment_Master!$C$5:$C$154,D76,Investment_Master!$R$5:$R$154)/SUMIF(Investment_Master!$C$5:$C$154,D76,Investment_Master!$J$5:$J$154),0)</f>
        <v>0.17879474147685634</v>
      </c>
      <c r="G76" s="38"/>
      <c r="H76" s="38" t="str">
        <f>Investment_Master!B6</f>
        <v>Brand Repositioning – South</v>
      </c>
      <c r="I76" s="40">
        <f>NPV_IRR!K6</f>
        <v>-1040104.4646030907</v>
      </c>
      <c r="J76" s="39">
        <f>NPV_IRR!L6</f>
        <v>5.7028167481365077E-2</v>
      </c>
      <c r="K76" s="38"/>
      <c r="L76" s="38"/>
      <c r="M76" s="38">
        <f>IF(Investment_Master!AA59="Low",1,IF(Investment_Master!AA59="Medium",2,3))</f>
        <v>1</v>
      </c>
      <c r="N76" s="39">
        <f>Investment_Master!S59</f>
        <v>-1.6474706646282967E-2</v>
      </c>
    </row>
    <row r="77" spans="1:14" ht="15" customHeight="1" x14ac:dyDescent="0.25">
      <c r="A77" s="40">
        <f>Investment_Master!J7</f>
        <v>35540000</v>
      </c>
      <c r="B77" s="40">
        <f>Investment_Master!Q7</f>
        <v>42580055.136139885</v>
      </c>
      <c r="C77" s="38"/>
      <c r="D77" s="38" t="s">
        <v>34</v>
      </c>
      <c r="E77" s="39">
        <f>AVERAGEIF(Investment_Master!$C$5:$C$154,D77,Investment_Master!$T$5:$T$154)</f>
        <v>0.24000000000000013</v>
      </c>
      <c r="F77" s="39">
        <f>IFERROR(SUMIF(Investment_Master!$C$5:$C$154,D77,Investment_Master!$R$5:$R$154)/SUMIF(Investment_Master!$C$5:$C$154,D77,Investment_Master!$J$5:$J$154),0)</f>
        <v>6.9627858832269005E-2</v>
      </c>
      <c r="G77" s="38"/>
      <c r="H77" s="38" t="str">
        <f>Investment_Master!B7</f>
        <v>Premium Product Line – West</v>
      </c>
      <c r="I77" s="40">
        <f>NPV_IRR!K7</f>
        <v>-3257618.069847744</v>
      </c>
      <c r="J77" s="39">
        <f>NPV_IRR!L7</f>
        <v>6.343282015879681E-2</v>
      </c>
      <c r="K77" s="38"/>
      <c r="L77" s="38"/>
      <c r="M77" s="38">
        <f>IF(Investment_Master!AA60="Low",1,IF(Investment_Master!AA60="Medium",2,3))</f>
        <v>3</v>
      </c>
      <c r="N77" s="39">
        <f>Investment_Master!S60</f>
        <v>-3.0828735407646512E-3</v>
      </c>
    </row>
    <row r="78" spans="1:14" ht="15" customHeight="1" x14ac:dyDescent="0.25">
      <c r="A78" s="40">
        <f>Investment_Master!J8</f>
        <v>23090000</v>
      </c>
      <c r="B78" s="40">
        <f>Investment_Master!Q8</f>
        <v>27865736.848496191</v>
      </c>
      <c r="C78" s="38"/>
      <c r="D78" s="38" t="s">
        <v>41</v>
      </c>
      <c r="E78" s="39">
        <f>AVERAGEIF(Investment_Master!$C$5:$C$154,D78,Investment_Master!$T$5:$T$154)</f>
        <v>0.18000000000000005</v>
      </c>
      <c r="F78" s="39">
        <f>IFERROR(SUMIF(Investment_Master!$C$5:$C$154,D78,Investment_Master!$R$5:$R$154)/SUMIF(Investment_Master!$C$5:$C$154,D78,Investment_Master!$J$5:$J$154),0)</f>
        <v>0.11372768897155552</v>
      </c>
      <c r="G78" s="38"/>
      <c r="H78" s="38" t="str">
        <f>Investment_Master!B8</f>
        <v>Tier-2 City Expansion – North</v>
      </c>
      <c r="I78" s="40">
        <f>NPV_IRR!K8</f>
        <v>-1412400.2926040664</v>
      </c>
      <c r="J78" s="39">
        <f>NPV_IRR!L8</f>
        <v>6.6126032243419619E-2</v>
      </c>
      <c r="K78" s="38"/>
      <c r="L78" s="38"/>
      <c r="M78" s="38">
        <f>IF(Investment_Master!AA61="Low",1,IF(Investment_Master!AA61="Medium",2,3))</f>
        <v>2</v>
      </c>
      <c r="N78" s="39">
        <f>Investment_Master!S61</f>
        <v>0.18102690391511994</v>
      </c>
    </row>
    <row r="79" spans="1:14" ht="15" customHeight="1" x14ac:dyDescent="0.25">
      <c r="A79" s="40">
        <f>Investment_Master!J9</f>
        <v>31290000</v>
      </c>
      <c r="B79" s="40">
        <f>Investment_Master!Q9</f>
        <v>36771431.691564731</v>
      </c>
      <c r="C79" s="38"/>
      <c r="D79" s="38" t="s">
        <v>47</v>
      </c>
      <c r="E79" s="39">
        <f>AVERAGEIF(Investment_Master!$C$5:$C$154,D79,Investment_Master!$T$5:$T$154)</f>
        <v>0.16999999999999996</v>
      </c>
      <c r="F79" s="39">
        <f>IFERROR(SUMIF(Investment_Master!$C$5:$C$154,D79,Investment_Master!$R$5:$R$154)/SUMIF(Investment_Master!$C$5:$C$154,D79,Investment_Master!$J$5:$J$154),0)</f>
        <v>0.15081830925051731</v>
      </c>
      <c r="G79" s="38"/>
      <c r="H79" s="38" t="str">
        <f>Investment_Master!B9</f>
        <v>Automated Packaging Line – East</v>
      </c>
      <c r="I79" s="40">
        <f>NPV_IRR!K9</f>
        <v>-4779443.6224185079</v>
      </c>
      <c r="J79" s="39">
        <f>NPV_IRR!L9</f>
        <v>5.6338011278983302E-2</v>
      </c>
      <c r="K79" s="38"/>
      <c r="L79" s="38"/>
      <c r="M79" s="38">
        <f>IF(Investment_Master!AA62="Low",1,IF(Investment_Master!AA62="Medium",2,3))</f>
        <v>1</v>
      </c>
      <c r="N79" s="39">
        <f>Investment_Master!S62</f>
        <v>0.14733771611338836</v>
      </c>
    </row>
    <row r="80" spans="1:14" ht="15" customHeight="1" x14ac:dyDescent="0.25">
      <c r="A80" s="40">
        <f>Investment_Master!J10</f>
        <v>18900000</v>
      </c>
      <c r="B80" s="40">
        <f>Investment_Master!Q10</f>
        <v>23608542.021207482</v>
      </c>
      <c r="C80" s="38"/>
      <c r="D80" s="38" t="s">
        <v>52</v>
      </c>
      <c r="E80" s="39">
        <f>AVERAGEIF(Investment_Master!$C$5:$C$154,D80,Investment_Master!$T$5:$T$154)</f>
        <v>0.25</v>
      </c>
      <c r="F80" s="39">
        <f>IFERROR(SUMIF(Investment_Master!$C$5:$C$154,D80,Investment_Master!$R$5:$R$154)/SUMIF(Investment_Master!$C$5:$C$154,D80,Investment_Master!$J$5:$J$154),0)</f>
        <v>0.22352301381103648</v>
      </c>
      <c r="G80" s="38"/>
      <c r="H80" s="38" t="str">
        <f>Investment_Master!B10</f>
        <v>RPA Finance Rollout – Central</v>
      </c>
      <c r="I80" s="40">
        <f>NPV_IRR!K10</f>
        <v>-1001010.2521966621</v>
      </c>
      <c r="J80" s="39">
        <f>NPV_IRR!L10</f>
        <v>7.9044196370595454E-2</v>
      </c>
      <c r="K80" s="38"/>
      <c r="L80" s="38"/>
      <c r="M80" s="38">
        <f>IF(Investment_Master!AA63="Low",1,IF(Investment_Master!AA63="Medium",2,3))</f>
        <v>3</v>
      </c>
      <c r="N80" s="39">
        <f>Investment_Master!S63</f>
        <v>-4.8657736780914319E-2</v>
      </c>
    </row>
    <row r="81" spans="1:14" ht="15" customHeight="1" x14ac:dyDescent="0.25">
      <c r="A81" s="40">
        <f>Investment_Master!J11</f>
        <v>13230000</v>
      </c>
      <c r="B81" s="40">
        <f>Investment_Master!Q11</f>
        <v>13268090.327227689</v>
      </c>
      <c r="C81" s="38"/>
      <c r="D81" s="38" t="s">
        <v>56</v>
      </c>
      <c r="E81" s="39">
        <f>AVERAGEIF(Investment_Master!$C$5:$C$154,D81,Investment_Master!$T$5:$T$154)</f>
        <v>0.14999999999999997</v>
      </c>
      <c r="F81" s="39">
        <f>IFERROR(SUMIF(Investment_Master!$C$5:$C$154,D81,Investment_Master!$R$5:$R$154)/SUMIF(Investment_Master!$C$5:$C$154,D81,Investment_Master!$J$5:$J$154),0)</f>
        <v>-1.169621950326037E-2</v>
      </c>
      <c r="G81" s="38"/>
      <c r="H81" s="38" t="str">
        <f>Investment_Master!B11</f>
        <v>Leadership Development – South</v>
      </c>
      <c r="I81" s="40">
        <f>NPV_IRR!K11</f>
        <v>-3422500.9059390966</v>
      </c>
      <c r="J81" s="39">
        <f>NPV_IRR!L11</f>
        <v>9.59082890785945E-4</v>
      </c>
      <c r="K81" s="38"/>
      <c r="L81" s="38"/>
      <c r="M81" s="38">
        <f>IF(Investment_Master!AA64="Low",1,IF(Investment_Master!AA64="Medium",2,3))</f>
        <v>2</v>
      </c>
      <c r="N81" s="39">
        <f>Investment_Master!S64</f>
        <v>0.10394126684275518</v>
      </c>
    </row>
    <row r="82" spans="1:14" ht="15" customHeight="1" x14ac:dyDescent="0.25">
      <c r="A82" s="40">
        <f>Investment_Master!J12</f>
        <v>17620000</v>
      </c>
      <c r="B82" s="40">
        <f>Investment_Master!Q12</f>
        <v>19638372.210712757</v>
      </c>
      <c r="C82" s="38"/>
      <c r="D82" s="38" t="s">
        <v>60</v>
      </c>
      <c r="E82" s="39">
        <f>AVERAGEIF(Investment_Master!$C$5:$C$154,D82,Investment_Master!$T$5:$T$154)</f>
        <v>0.12999999999999995</v>
      </c>
      <c r="F82" s="39">
        <f>IFERROR(SUMIF(Investment_Master!$C$5:$C$154,D82,Investment_Master!$R$5:$R$154)/SUMIF(Investment_Master!$C$5:$C$154,D82,Investment_Master!$J$5:$J$154),0)</f>
        <v>9.3805887595078088E-2</v>
      </c>
      <c r="G82" s="38"/>
      <c r="H82" s="38" t="str">
        <f>Investment_Master!B12</f>
        <v>Plant Utility Upgrade – West</v>
      </c>
      <c r="I82" s="40">
        <f>NPV_IRR!K12</f>
        <v>-3461612.6404058412</v>
      </c>
      <c r="J82" s="39">
        <f>NPV_IRR!L12</f>
        <v>3.7274471665797337E-2</v>
      </c>
      <c r="K82" s="38"/>
      <c r="L82" s="38"/>
      <c r="M82" s="38">
        <f>IF(Investment_Master!AA65="Low",1,IF(Investment_Master!AA65="Medium",2,3))</f>
        <v>1</v>
      </c>
      <c r="N82" s="39">
        <f>Investment_Master!S65</f>
        <v>0.19108369086068833</v>
      </c>
    </row>
    <row r="83" spans="1:14" ht="15" customHeight="1" x14ac:dyDescent="0.25">
      <c r="A83" s="40">
        <f>Investment_Master!J13</f>
        <v>20840000</v>
      </c>
      <c r="B83" s="40">
        <f>Investment_Master!Q13</f>
        <v>27103087.845054738</v>
      </c>
      <c r="C83" s="38"/>
      <c r="D83" s="38"/>
      <c r="E83" s="38"/>
      <c r="F83" s="38"/>
      <c r="G83" s="38"/>
      <c r="H83" s="38" t="str">
        <f>Investment_Master!B13</f>
        <v>ERP Cloud Migration – North</v>
      </c>
      <c r="I83" s="40">
        <f>NPV_IRR!K13</f>
        <v>-291594.63737031817</v>
      </c>
      <c r="J83" s="39">
        <f>NPV_IRR!L13</f>
        <v>9.4507699718861193E-2</v>
      </c>
      <c r="K83" s="38"/>
      <c r="L83" s="38"/>
      <c r="M83" s="38">
        <f>IF(Investment_Master!AA66="Low",1,IF(Investment_Master!AA66="Medium",2,3))</f>
        <v>3</v>
      </c>
      <c r="N83" s="39">
        <f>Investment_Master!S66</f>
        <v>0.16720831196354127</v>
      </c>
    </row>
    <row r="84" spans="1:14" ht="15" customHeight="1" x14ac:dyDescent="0.25">
      <c r="A84" s="40">
        <f>Investment_Master!J14</f>
        <v>9510000</v>
      </c>
      <c r="B84" s="40">
        <f>Investment_Master!Q14</f>
        <v>11748641.3702993</v>
      </c>
      <c r="C84" s="38"/>
      <c r="D84" s="38"/>
      <c r="E84" s="38"/>
      <c r="F84" s="38"/>
      <c r="G84" s="38"/>
      <c r="H84" s="38" t="str">
        <f>Investment_Master!B14</f>
        <v>Brand Repositioning – East</v>
      </c>
      <c r="I84" s="40">
        <f>NPV_IRR!K14</f>
        <v>-602681.14698893763</v>
      </c>
      <c r="J84" s="39">
        <f>NPV_IRR!L14</f>
        <v>7.4870557757053424E-2</v>
      </c>
      <c r="K84" s="38"/>
      <c r="L84" s="38"/>
      <c r="M84" s="38">
        <f>IF(Investment_Master!AA67="Low",1,IF(Investment_Master!AA67="Medium",2,3))</f>
        <v>2</v>
      </c>
      <c r="N84" s="39">
        <f>Investment_Master!S67</f>
        <v>-3.245991331445159E-2</v>
      </c>
    </row>
    <row r="85" spans="1:14" ht="15" customHeight="1" x14ac:dyDescent="0.25">
      <c r="A85" s="40">
        <f>Investment_Master!J15</f>
        <v>24030000</v>
      </c>
      <c r="B85" s="40">
        <f>Investment_Master!Q15</f>
        <v>25540924.257984009</v>
      </c>
      <c r="C85" s="38"/>
      <c r="D85" s="38"/>
      <c r="E85" s="38"/>
      <c r="F85" s="38"/>
      <c r="G85" s="38"/>
      <c r="H85" s="38" t="str">
        <f>Investment_Master!B15</f>
        <v>Premium Product Line – Central</v>
      </c>
      <c r="I85" s="40">
        <f>NPV_IRR!K15</f>
        <v>-5616136.8097846024</v>
      </c>
      <c r="J85" s="39">
        <f>NPV_IRR!L15</f>
        <v>2.0676798411674024E-2</v>
      </c>
      <c r="K85" s="38"/>
      <c r="L85" s="38"/>
      <c r="M85" s="38">
        <f>IF(Investment_Master!AA68="Low",1,IF(Investment_Master!AA68="Medium",2,3))</f>
        <v>1</v>
      </c>
      <c r="N85" s="39">
        <f>Investment_Master!S68</f>
        <v>0.14270327029306218</v>
      </c>
    </row>
    <row r="86" spans="1:14" ht="15" customHeight="1" x14ac:dyDescent="0.25">
      <c r="A86" s="40">
        <f>Investment_Master!J16</f>
        <v>29770000</v>
      </c>
      <c r="B86" s="40">
        <f>Investment_Master!Q16</f>
        <v>35047166.66319789</v>
      </c>
      <c r="C86" s="38"/>
      <c r="D86" s="38"/>
      <c r="E86" s="38"/>
      <c r="F86" s="38"/>
      <c r="G86" s="38"/>
      <c r="H86" s="38" t="str">
        <f>Investment_Master!B16</f>
        <v>Tier-2 City Expansion – South</v>
      </c>
      <c r="I86" s="40">
        <f>NPV_IRR!K16</f>
        <v>-2505748.7823188342</v>
      </c>
      <c r="J86" s="39">
        <f>NPV_IRR!L16</f>
        <v>5.6985527970591754E-2</v>
      </c>
      <c r="K86" s="38"/>
      <c r="L86" s="38"/>
      <c r="M86" s="38">
        <f>IF(Investment_Master!AA69="Low",1,IF(Investment_Master!AA69="Medium",2,3))</f>
        <v>3</v>
      </c>
      <c r="N86" s="39">
        <f>Investment_Master!S69</f>
        <v>0.17079999280711514</v>
      </c>
    </row>
    <row r="87" spans="1:14" ht="15" customHeight="1" x14ac:dyDescent="0.25">
      <c r="A87" s="40">
        <f>Investment_Master!J17</f>
        <v>10900000</v>
      </c>
      <c r="B87" s="40">
        <f>Investment_Master!Q17</f>
        <v>12033701.83879935</v>
      </c>
      <c r="C87" s="38"/>
      <c r="D87" s="38"/>
      <c r="E87" s="38"/>
      <c r="F87" s="38"/>
      <c r="G87" s="38"/>
      <c r="H87" s="38" t="str">
        <f>Investment_Master!B17</f>
        <v>Automated Packaging Line – West</v>
      </c>
      <c r="I87" s="40">
        <f>NPV_IRR!K17</f>
        <v>-1776560.4564946648</v>
      </c>
      <c r="J87" s="39">
        <f>NPV_IRR!L17</f>
        <v>3.3915998707266359E-2</v>
      </c>
      <c r="K87" s="38"/>
      <c r="L87" s="38"/>
      <c r="M87" s="38">
        <f>IF(Investment_Master!AA70="Low",1,IF(Investment_Master!AA70="Medium",2,3))</f>
        <v>2</v>
      </c>
      <c r="N87" s="39">
        <f>Investment_Master!S70</f>
        <v>0.19884031898922255</v>
      </c>
    </row>
    <row r="88" spans="1:14" ht="15" customHeight="1" x14ac:dyDescent="0.25">
      <c r="A88" s="40">
        <f>Investment_Master!J18</f>
        <v>17990000</v>
      </c>
      <c r="B88" s="40">
        <f>Investment_Master!Q18</f>
        <v>23357082.504455801</v>
      </c>
      <c r="C88" s="38"/>
      <c r="D88" s="38"/>
      <c r="E88" s="38"/>
      <c r="F88" s="38"/>
      <c r="G88" s="38"/>
      <c r="H88" s="38" t="str">
        <f>Investment_Master!B18</f>
        <v>RPA Finance Rollout – North</v>
      </c>
      <c r="I88" s="40">
        <f>NPV_IRR!K18</f>
        <v>-724925.68615786359</v>
      </c>
      <c r="J88" s="39">
        <f>NPV_IRR!L18</f>
        <v>9.3852407194937371E-2</v>
      </c>
      <c r="K88" s="38"/>
      <c r="L88" s="38"/>
      <c r="M88" s="38">
        <f>IF(Investment_Master!AA71="Low",1,IF(Investment_Master!AA71="Medium",2,3))</f>
        <v>1</v>
      </c>
      <c r="N88" s="39">
        <f>Investment_Master!S71</f>
        <v>7.6659095027279245E-2</v>
      </c>
    </row>
    <row r="89" spans="1:14" ht="15" customHeight="1" x14ac:dyDescent="0.25">
      <c r="A89" s="40">
        <f>Investment_Master!J19</f>
        <v>3540000</v>
      </c>
      <c r="B89" s="40">
        <f>Investment_Master!Q19</f>
        <v>3762629.1051281439</v>
      </c>
      <c r="C89" s="38"/>
      <c r="D89" s="38"/>
      <c r="E89" s="38"/>
      <c r="F89" s="38"/>
      <c r="G89" s="38"/>
      <c r="H89" s="38" t="str">
        <f>Investment_Master!B19</f>
        <v>Leadership Development – East</v>
      </c>
      <c r="I89" s="40">
        <f>NPV_IRR!K19</f>
        <v>-758742.06236716406</v>
      </c>
      <c r="J89" s="39">
        <f>NPV_IRR!L19</f>
        <v>2.0681015948993187E-2</v>
      </c>
      <c r="K89" s="38"/>
      <c r="L89" s="38"/>
      <c r="M89" s="38">
        <f>IF(Investment_Master!AA72="Low",1,IF(Investment_Master!AA72="Medium",2,3))</f>
        <v>3</v>
      </c>
      <c r="N89" s="39">
        <f>Investment_Master!S72</f>
        <v>0.18785820554481411</v>
      </c>
    </row>
    <row r="90" spans="1:14" ht="15" customHeight="1" x14ac:dyDescent="0.25">
      <c r="A90" s="40">
        <f>Investment_Master!J20</f>
        <v>35980000</v>
      </c>
      <c r="B90" s="40">
        <f>Investment_Master!Q20</f>
        <v>42050429.297203735</v>
      </c>
      <c r="C90" s="38"/>
      <c r="D90" s="38"/>
      <c r="E90" s="38"/>
      <c r="F90" s="38"/>
      <c r="G90" s="38"/>
      <c r="H90" s="38" t="str">
        <f>Investment_Master!B20</f>
        <v>Plant Utility Upgrade – Central</v>
      </c>
      <c r="I90" s="40">
        <f>NPV_IRR!K20</f>
        <v>-4099157.7944429442</v>
      </c>
      <c r="J90" s="39">
        <f>NPV_IRR!L20</f>
        <v>5.4325330188333298E-2</v>
      </c>
      <c r="K90" s="38"/>
      <c r="L90" s="38"/>
      <c r="M90" s="38">
        <f>IF(Investment_Master!AA73="Low",1,IF(Investment_Master!AA73="Medium",2,3))</f>
        <v>2</v>
      </c>
      <c r="N90" s="39">
        <f>Investment_Master!S73</f>
        <v>0.24759923832155653</v>
      </c>
    </row>
    <row r="91" spans="1:14" ht="15" customHeight="1" x14ac:dyDescent="0.25">
      <c r="A91" s="41" t="s">
        <v>356</v>
      </c>
      <c r="B91" s="41" t="s">
        <v>276</v>
      </c>
      <c r="C91" s="38"/>
      <c r="D91" s="38"/>
      <c r="E91" s="38"/>
      <c r="F91" s="38"/>
      <c r="G91" s="38"/>
      <c r="H91" s="38" t="str">
        <f>Investment_Master!B21</f>
        <v>ERP Cloud Migration – South</v>
      </c>
      <c r="I91" s="40">
        <f>NPV_IRR!K21</f>
        <v>-3050222.1434372067</v>
      </c>
      <c r="J91" s="39">
        <f>NPV_IRR!L21</f>
        <v>7.3280887802852357E-2</v>
      </c>
      <c r="K91" s="38"/>
      <c r="L91" s="38"/>
      <c r="M91" s="38">
        <f>IF(Investment_Master!AA74="Low",1,IF(Investment_Master!AA74="Medium",2,3))</f>
        <v>1</v>
      </c>
      <c r="N91" s="39">
        <f>Investment_Master!S74</f>
        <v>0.15781227817980278</v>
      </c>
    </row>
    <row r="92" spans="1:14" ht="15" customHeight="1" x14ac:dyDescent="0.25">
      <c r="A92" s="40" t="str">
        <f>INDEX(Investment_Master!$B$5:$B$154,MATCH(B92,Investment_Master!$V$5:$V$154,0))</f>
        <v>RPA Finance Rollout – North</v>
      </c>
      <c r="B92" s="42">
        <f>SMALL(Investment_Master!$V$5:$V$154,1)</f>
        <v>3.4583952580797295</v>
      </c>
      <c r="C92" s="38"/>
      <c r="D92" s="38"/>
      <c r="E92" s="38"/>
      <c r="F92" s="38"/>
      <c r="G92" s="38"/>
      <c r="H92" s="38" t="str">
        <f>Investment_Master!B22</f>
        <v>Brand Repositioning – West</v>
      </c>
      <c r="I92" s="40">
        <f>NPV_IRR!K22</f>
        <v>-1798835.1803990286</v>
      </c>
      <c r="J92" s="39">
        <f>NPV_IRR!L22</f>
        <v>5.0240763828989454E-2</v>
      </c>
      <c r="K92" s="38"/>
      <c r="L92" s="38"/>
      <c r="M92" s="38">
        <f>IF(Investment_Master!AA75="Low",1,IF(Investment_Master!AA75="Medium",2,3))</f>
        <v>3</v>
      </c>
      <c r="N92" s="39">
        <f>Investment_Master!S75</f>
        <v>-1.4746645843265136E-2</v>
      </c>
    </row>
    <row r="93" spans="1:14" ht="15" customHeight="1" x14ac:dyDescent="0.25">
      <c r="A93" s="40" t="str">
        <f>INDEX(Investment_Master!$B$5:$B$154,MATCH(B93,Investment_Master!$V$5:$V$154,0))</f>
        <v>RPA Finance Rollout – East</v>
      </c>
      <c r="B93" s="42">
        <f>SMALL(Investment_Master!$V$5:$V$154,2)</f>
        <v>3.6039986691846839</v>
      </c>
      <c r="C93" s="38"/>
      <c r="D93" s="38"/>
      <c r="E93" s="38"/>
      <c r="F93" s="38"/>
      <c r="G93" s="38"/>
      <c r="H93" s="38" t="str">
        <f>Investment_Master!B23</f>
        <v>Premium Product Line – North</v>
      </c>
      <c r="I93" s="40">
        <f>NPV_IRR!K23</f>
        <v>-5369919.8513890207</v>
      </c>
      <c r="J93" s="39">
        <f>NPV_IRR!L23</f>
        <v>1.779400062275438E-2</v>
      </c>
      <c r="K93" s="38"/>
      <c r="L93" s="38"/>
      <c r="M93" s="38">
        <f>IF(Investment_Master!AA76="Low",1,IF(Investment_Master!AA76="Medium",2,3))</f>
        <v>2</v>
      </c>
      <c r="N93" s="39">
        <f>Investment_Master!S76</f>
        <v>2.7814760574180704E-2</v>
      </c>
    </row>
    <row r="94" spans="1:14" ht="15" customHeight="1" x14ac:dyDescent="0.25">
      <c r="A94" s="40" t="str">
        <f>INDEX(Investment_Master!$B$5:$B$154,MATCH(B94,Investment_Master!$V$5:$V$154,0))</f>
        <v>RPA Finance Rollout – Central</v>
      </c>
      <c r="B94" s="42">
        <f>SMALL(Investment_Master!$V$5:$V$154,3)</f>
        <v>3.7520755694342696</v>
      </c>
      <c r="C94" s="38"/>
      <c r="D94" s="38"/>
      <c r="E94" s="38"/>
      <c r="F94" s="38"/>
      <c r="G94" s="38"/>
      <c r="H94" s="38" t="str">
        <f>Investment_Master!B24</f>
        <v>Tier-2 City Expansion – East</v>
      </c>
      <c r="I94" s="40">
        <f>NPV_IRR!K24</f>
        <v>-10234203.426068015</v>
      </c>
      <c r="J94" s="39">
        <f>NPV_IRR!L24</f>
        <v>1.5790564773516147E-2</v>
      </c>
      <c r="K94" s="38"/>
      <c r="L94" s="38"/>
      <c r="M94" s="38">
        <f>IF(Investment_Master!AA77="Low",1,IF(Investment_Master!AA77="Medium",2,3))</f>
        <v>1</v>
      </c>
      <c r="N94" s="39">
        <f>Investment_Master!S77</f>
        <v>0.19255062237266266</v>
      </c>
    </row>
    <row r="95" spans="1:14" ht="15" customHeight="1" x14ac:dyDescent="0.25">
      <c r="A95" s="40" t="str">
        <f>INDEX(Investment_Master!$B$5:$B$154,MATCH(B95,Investment_Master!$V$5:$V$154,0))</f>
        <v>ERP Cloud Migration – West</v>
      </c>
      <c r="B95" s="42">
        <f>SMALL(Investment_Master!$V$5:$V$154,4)</f>
        <v>3.7748640074476305</v>
      </c>
      <c r="C95" s="38"/>
      <c r="D95" s="38"/>
      <c r="E95" s="38"/>
      <c r="F95" s="38"/>
      <c r="G95" s="38"/>
      <c r="H95" s="38" t="str">
        <f>Investment_Master!B25</f>
        <v>Automated Packaging Line – Central</v>
      </c>
      <c r="I95" s="40">
        <f>NPV_IRR!K25</f>
        <v>-2416695.9100855757</v>
      </c>
      <c r="J95" s="39">
        <f>NPV_IRR!L25</f>
        <v>4.6568564713683758E-2</v>
      </c>
      <c r="K95" s="38"/>
      <c r="L95" s="38"/>
      <c r="M95" s="38">
        <f>IF(Investment_Master!AA78="Low",1,IF(Investment_Master!AA78="Medium",2,3))</f>
        <v>3</v>
      </c>
      <c r="N95" s="39">
        <f>Investment_Master!S78</f>
        <v>1.6673719639803734E-2</v>
      </c>
    </row>
    <row r="96" spans="1:14" ht="15" customHeight="1" x14ac:dyDescent="0.25">
      <c r="A96" s="40" t="str">
        <f>INDEX(Investment_Master!$B$5:$B$154,MATCH(B96,Investment_Master!$V$5:$V$154,0))</f>
        <v>RPA Finance Rollout – South</v>
      </c>
      <c r="B96" s="42">
        <f>SMALL(Investment_Master!$V$5:$V$154,5)</f>
        <v>3.8107915070978509</v>
      </c>
      <c r="C96" s="38"/>
      <c r="D96" s="38"/>
      <c r="E96" s="38"/>
      <c r="F96" s="38"/>
      <c r="G96" s="38"/>
      <c r="H96" s="38" t="str">
        <f>Investment_Master!B26</f>
        <v>RPA Finance Rollout – South</v>
      </c>
      <c r="I96" s="40">
        <f>NPV_IRR!K26</f>
        <v>-2174578.9936385378</v>
      </c>
      <c r="J96" s="39">
        <f>NPV_IRR!L26</f>
        <v>7.0856309984055343E-2</v>
      </c>
      <c r="K96" s="38"/>
      <c r="L96" s="38"/>
      <c r="M96" s="38">
        <f>IF(Investment_Master!AA79="Low",1,IF(Investment_Master!AA79="Medium",2,3))</f>
        <v>2</v>
      </c>
      <c r="N96" s="39">
        <f>Investment_Master!S79</f>
        <v>6.4471125350909597E-2</v>
      </c>
    </row>
    <row r="97" spans="1:14" ht="15" customHeight="1" x14ac:dyDescent="0.25">
      <c r="A97" s="40" t="str">
        <f>INDEX(Investment_Master!$B$5:$B$154,MATCH(B97,Investment_Master!$V$5:$V$154,0))</f>
        <v>ERP Cloud Migration – North</v>
      </c>
      <c r="B97" s="42">
        <f>SMALL(Investment_Master!$V$5:$V$154,6)</f>
        <v>3.8445803886147405</v>
      </c>
      <c r="C97" s="38"/>
      <c r="D97" s="38"/>
      <c r="E97" s="38"/>
      <c r="F97" s="38"/>
      <c r="G97" s="38"/>
      <c r="H97" s="38" t="str">
        <f>Investment_Master!B27</f>
        <v>Leadership Development – West</v>
      </c>
      <c r="I97" s="40">
        <f>NPV_IRR!K27</f>
        <v>-1021000.4536803083</v>
      </c>
      <c r="J97" s="39">
        <f>NPV_IRR!L27</f>
        <v>-4.9455335111972087E-2</v>
      </c>
      <c r="K97" s="38"/>
      <c r="L97" s="38"/>
      <c r="M97" s="38">
        <f>IF(Investment_Master!AA80="Low",1,IF(Investment_Master!AA80="Medium",2,3))</f>
        <v>1</v>
      </c>
      <c r="N97" s="39">
        <f>Investment_Master!S80</f>
        <v>7.7364550187084394E-2</v>
      </c>
    </row>
    <row r="98" spans="1:14" ht="15" customHeight="1" x14ac:dyDescent="0.25">
      <c r="A98" s="40" t="str">
        <f>INDEX(Investment_Master!$B$5:$B$154,MATCH(B98,Investment_Master!$V$5:$V$154,0))</f>
        <v>RPA Finance Rollout – North</v>
      </c>
      <c r="B98" s="42">
        <f>SMALL(Investment_Master!$V$5:$V$154,7)</f>
        <v>3.8510802872250998</v>
      </c>
      <c r="C98" s="38"/>
      <c r="D98" s="38"/>
      <c r="E98" s="38"/>
      <c r="F98" s="38"/>
      <c r="G98" s="38"/>
      <c r="H98" s="38" t="str">
        <f>Investment_Master!B28</f>
        <v>Plant Utility Upgrade – North</v>
      </c>
      <c r="I98" s="40">
        <f>NPV_IRR!K28</f>
        <v>-8348698.6608120427</v>
      </c>
      <c r="J98" s="39">
        <f>NPV_IRR!L28</f>
        <v>2.34803123112719E-2</v>
      </c>
      <c r="K98" s="38"/>
      <c r="L98" s="38"/>
      <c r="M98" s="38">
        <f>IF(Investment_Master!AA81="Low",1,IF(Investment_Master!AA81="Medium",2,3))</f>
        <v>3</v>
      </c>
      <c r="N98" s="39">
        <f>Investment_Master!S81</f>
        <v>1.0752813548355654E-2</v>
      </c>
    </row>
    <row r="99" spans="1:14" ht="15" customHeight="1" x14ac:dyDescent="0.25">
      <c r="A99" s="40" t="str">
        <f>INDEX(Investment_Master!$B$5:$B$154,MATCH(B99,Investment_Master!$V$5:$V$154,0))</f>
        <v>ERP Cloud Migration – South</v>
      </c>
      <c r="B99" s="42">
        <f>SMALL(Investment_Master!$V$5:$V$154,8)</f>
        <v>3.8571954425256743</v>
      </c>
      <c r="C99" s="38"/>
      <c r="D99" s="38"/>
      <c r="E99" s="38"/>
      <c r="F99" s="38"/>
      <c r="G99" s="38"/>
      <c r="H99" s="38" t="str">
        <f>Investment_Master!B29</f>
        <v>ERP Cloud Migration – East</v>
      </c>
      <c r="I99" s="40">
        <f>NPV_IRR!K29</f>
        <v>-1317902.2882173583</v>
      </c>
      <c r="J99" s="39">
        <f>NPV_IRR!L29</f>
        <v>7.7938748360283583E-2</v>
      </c>
      <c r="K99" s="38"/>
      <c r="L99" s="38"/>
      <c r="M99" s="38">
        <f>IF(Investment_Master!AA82="Low",1,IF(Investment_Master!AA82="Medium",2,3))</f>
        <v>2</v>
      </c>
      <c r="N99" s="39">
        <f>Investment_Master!S82</f>
        <v>0.2304213103027663</v>
      </c>
    </row>
    <row r="100" spans="1:14" ht="15" customHeight="1" x14ac:dyDescent="0.25">
      <c r="A100" s="40" t="str">
        <f>INDEX(Investment_Master!$B$5:$B$154,MATCH(B100,Investment_Master!$V$5:$V$154,0))</f>
        <v>Brand Repositioning – East</v>
      </c>
      <c r="B100" s="42">
        <f>SMALL(Investment_Master!$V$5:$V$154,9)</f>
        <v>3.8857413202325461</v>
      </c>
      <c r="C100" s="38"/>
      <c r="D100" s="38"/>
      <c r="E100" s="38"/>
      <c r="F100" s="38"/>
      <c r="G100" s="38"/>
      <c r="H100" s="38" t="str">
        <f>Investment_Master!B30</f>
        <v>Brand Repositioning – Central</v>
      </c>
      <c r="I100" s="40">
        <f>NPV_IRR!K30</f>
        <v>-2756613.2741649076</v>
      </c>
      <c r="J100" s="39">
        <f>NPV_IRR!L30</f>
        <v>6.1788261218792551E-2</v>
      </c>
      <c r="K100" s="38"/>
      <c r="L100" s="38"/>
      <c r="M100" s="38">
        <f>IF(Investment_Master!AA83="Low",1,IF(Investment_Master!AA83="Medium",2,3))</f>
        <v>1</v>
      </c>
      <c r="N100" s="39">
        <f>Investment_Master!S83</f>
        <v>-6.564863278350954E-3</v>
      </c>
    </row>
    <row r="101" spans="1:14" ht="15" customHeight="1" x14ac:dyDescent="0.25">
      <c r="A101" s="40" t="str">
        <f>INDEX(Investment_Master!$B$5:$B$154,MATCH(B101,Investment_Master!$V$5:$V$154,0))</f>
        <v>ERP Cloud Migration – South</v>
      </c>
      <c r="B101" s="42">
        <f>SMALL(Investment_Master!$V$5:$V$154,10)</f>
        <v>3.8899185879393987</v>
      </c>
      <c r="C101" s="38"/>
      <c r="D101" s="38"/>
      <c r="E101" s="38"/>
      <c r="F101" s="38"/>
      <c r="G101" s="38"/>
      <c r="H101" s="38" t="str">
        <f>Investment_Master!B31</f>
        <v>Premium Product Line – South</v>
      </c>
      <c r="I101" s="40">
        <f>NPV_IRR!K31</f>
        <v>-2671560.3027187511</v>
      </c>
      <c r="J101" s="39">
        <f>NPV_IRR!L31</f>
        <v>4.929229425613002E-2</v>
      </c>
      <c r="K101" s="38"/>
      <c r="L101" s="38"/>
      <c r="M101" s="38">
        <f>IF(Investment_Master!AA84="Low",1,IF(Investment_Master!AA84="Medium",2,3))</f>
        <v>3</v>
      </c>
      <c r="N101" s="39">
        <f>Investment_Master!S84</f>
        <v>0.10333432586281142</v>
      </c>
    </row>
    <row r="102" spans="1:14" ht="15" customHeight="1" x14ac:dyDescent="0.25">
      <c r="A102" s="40">
        <f>Investment_Master!J32</f>
        <v>48920000</v>
      </c>
      <c r="B102" s="40">
        <f>Investment_Master!Q32</f>
        <v>53190900.746296138</v>
      </c>
      <c r="C102" s="38"/>
      <c r="D102" s="38"/>
      <c r="E102" s="38"/>
      <c r="F102" s="38"/>
      <c r="G102" s="38"/>
      <c r="H102" s="38" t="str">
        <f>Investment_Master!B32</f>
        <v>Tier-2 City Expansion – West</v>
      </c>
      <c r="I102" s="40">
        <f>NPV_IRR!K32</f>
        <v>-7541189.1426706985</v>
      </c>
      <c r="J102" s="39">
        <f>NPV_IRR!L32</f>
        <v>2.8565091327503955E-2</v>
      </c>
      <c r="K102" s="38"/>
      <c r="L102" s="38"/>
      <c r="M102" s="38">
        <f>IF(Investment_Master!AA85="Low",1,IF(Investment_Master!AA85="Medium",2,3))</f>
        <v>2</v>
      </c>
      <c r="N102" s="39">
        <f>Investment_Master!S85</f>
        <v>0.19382902451821657</v>
      </c>
    </row>
    <row r="103" spans="1:14" ht="15" customHeight="1" x14ac:dyDescent="0.25">
      <c r="A103" s="40">
        <f>Investment_Master!J33</f>
        <v>26540000</v>
      </c>
      <c r="B103" s="40">
        <f>Investment_Master!Q33</f>
        <v>28293602.103984609</v>
      </c>
      <c r="C103" s="38"/>
      <c r="D103" s="38"/>
      <c r="E103" s="38"/>
      <c r="F103" s="38"/>
      <c r="G103" s="38"/>
      <c r="H103" s="38" t="str">
        <f>Investment_Master!B33</f>
        <v>Automated Packaging Line – North</v>
      </c>
      <c r="I103" s="40">
        <f>NPV_IRR!K33</f>
        <v>-6141579.2913875543</v>
      </c>
      <c r="J103" s="39">
        <f>NPV_IRR!L33</f>
        <v>2.1713745008778984E-2</v>
      </c>
      <c r="K103" s="38"/>
      <c r="L103" s="38"/>
      <c r="M103" s="38">
        <f>IF(Investment_Master!AA86="Low",1,IF(Investment_Master!AA86="Medium",2,3))</f>
        <v>1</v>
      </c>
      <c r="N103" s="39">
        <f>Investment_Master!S86</f>
        <v>0.213655533419911</v>
      </c>
    </row>
    <row r="104" spans="1:14" ht="15" customHeight="1" x14ac:dyDescent="0.25">
      <c r="A104" s="40">
        <f>Investment_Master!J34</f>
        <v>25230000</v>
      </c>
      <c r="B104" s="40">
        <f>Investment_Master!Q34</f>
        <v>35002787.619935036</v>
      </c>
      <c r="C104" s="38"/>
      <c r="D104" s="38"/>
      <c r="E104" s="38"/>
      <c r="F104" s="2" t="s">
        <v>382</v>
      </c>
      <c r="G104" s="2"/>
      <c r="H104" s="2"/>
      <c r="I104" s="2"/>
      <c r="J104" s="2"/>
      <c r="K104" s="2"/>
      <c r="L104" s="2"/>
      <c r="M104" s="2"/>
      <c r="N104" s="2"/>
    </row>
    <row r="105" spans="1:14" ht="24" customHeight="1" x14ac:dyDescent="0.25">
      <c r="A105" s="40">
        <f>Investment_Master!J35</f>
        <v>10930000</v>
      </c>
      <c r="B105" s="40">
        <f>Investment_Master!Q35</f>
        <v>12106705.13945229</v>
      </c>
      <c r="C105" s="38"/>
      <c r="D105" s="38"/>
      <c r="E105" s="38"/>
      <c r="F105" s="1" t="s">
        <v>383</v>
      </c>
      <c r="G105" s="1"/>
      <c r="H105" s="1"/>
      <c r="I105" s="1"/>
      <c r="J105" s="1"/>
      <c r="K105" s="1"/>
      <c r="L105" s="1"/>
      <c r="M105" s="1"/>
      <c r="N105" s="1"/>
    </row>
    <row r="106" spans="1:14" ht="24" customHeight="1" x14ac:dyDescent="0.25">
      <c r="A106" s="40">
        <f>Investment_Master!J36</f>
        <v>19850000</v>
      </c>
      <c r="B106" s="40">
        <f>Investment_Master!Q36</f>
        <v>19748974.769360371</v>
      </c>
      <c r="C106" s="38"/>
      <c r="D106" s="38"/>
      <c r="E106" s="38"/>
      <c r="F106" s="1" t="s">
        <v>384</v>
      </c>
      <c r="G106" s="1"/>
      <c r="H106" s="1"/>
      <c r="I106" s="1"/>
      <c r="J106" s="1"/>
      <c r="K106" s="1"/>
      <c r="L106" s="1"/>
      <c r="M106" s="1"/>
      <c r="N106" s="1"/>
    </row>
    <row r="107" spans="1:14" ht="24" customHeight="1" x14ac:dyDescent="0.25">
      <c r="A107" s="40">
        <f>Investment_Master!J37</f>
        <v>15810000</v>
      </c>
      <c r="B107" s="40">
        <f>Investment_Master!Q37</f>
        <v>20941151.745874301</v>
      </c>
      <c r="C107" s="38"/>
      <c r="D107" s="38"/>
      <c r="E107" s="38"/>
      <c r="F107" s="1" t="s">
        <v>385</v>
      </c>
      <c r="G107" s="1"/>
      <c r="H107" s="1"/>
      <c r="I107" s="1"/>
      <c r="J107" s="1"/>
      <c r="K107" s="1"/>
      <c r="L107" s="1"/>
      <c r="M107" s="1"/>
      <c r="N107" s="1"/>
    </row>
    <row r="108" spans="1:14" ht="15" customHeight="1" x14ac:dyDescent="0.25">
      <c r="A108" s="40">
        <f>Investment_Master!J38</f>
        <v>20530000</v>
      </c>
      <c r="B108" s="40">
        <f>Investment_Master!Q38</f>
        <v>24392528.729646951</v>
      </c>
      <c r="C108" s="38"/>
      <c r="D108" s="38"/>
      <c r="E108" s="38"/>
      <c r="F108" s="38"/>
      <c r="G108" s="38"/>
      <c r="H108" s="38" t="str">
        <f>Investment_Master!B38</f>
        <v>Brand Repositioning – North</v>
      </c>
      <c r="I108" s="40">
        <f>NPV_IRR!K38</f>
        <v>-2499545.1630337909</v>
      </c>
      <c r="J108" s="39">
        <f>NPV_IRR!L38</f>
        <v>6.0358762576186553E-2</v>
      </c>
      <c r="K108" s="38"/>
      <c r="L108" s="38"/>
      <c r="M108" s="38">
        <f>IF(Investment_Master!AA91="Low",1,IF(Investment_Master!AA91="Medium",2,3))</f>
        <v>2</v>
      </c>
      <c r="N108" s="39">
        <f>Investment_Master!S91</f>
        <v>-1.140020189797627E-2</v>
      </c>
    </row>
    <row r="109" spans="1:14" ht="15" customHeight="1" x14ac:dyDescent="0.25">
      <c r="A109" s="40">
        <f>Investment_Master!J39</f>
        <v>18730000</v>
      </c>
      <c r="B109" s="40">
        <f>Investment_Master!Q39</f>
        <v>19422264.25557594</v>
      </c>
      <c r="C109" s="38"/>
      <c r="D109" s="38"/>
      <c r="E109" s="38"/>
      <c r="F109" s="38"/>
      <c r="G109" s="38"/>
      <c r="H109" s="38" t="str">
        <f>Investment_Master!B39</f>
        <v>Premium Product Line – East</v>
      </c>
      <c r="I109" s="40">
        <f>NPV_IRR!K39</f>
        <v>-4373462.2923634183</v>
      </c>
      <c r="J109" s="39">
        <f>NPV_IRR!L39</f>
        <v>1.2221101133348622E-2</v>
      </c>
      <c r="K109" s="38"/>
      <c r="L109" s="38"/>
      <c r="M109" s="38">
        <f>IF(Investment_Master!AA92="Low",1,IF(Investment_Master!AA92="Medium",2,3))</f>
        <v>1</v>
      </c>
      <c r="N109" s="39">
        <f>Investment_Master!S92</f>
        <v>0.26940507393960395</v>
      </c>
    </row>
    <row r="110" spans="1:14" ht="15" customHeight="1" x14ac:dyDescent="0.25">
      <c r="A110" s="40">
        <f>Investment_Master!J40</f>
        <v>34210000</v>
      </c>
      <c r="B110" s="40">
        <f>Investment_Master!Q40</f>
        <v>39763656.156460196</v>
      </c>
      <c r="C110" s="38"/>
      <c r="D110" s="38"/>
      <c r="E110" s="38"/>
      <c r="F110" s="38"/>
      <c r="G110" s="38"/>
      <c r="H110" s="38" t="str">
        <f>Investment_Master!B40</f>
        <v>Tier-2 City Expansion – Central</v>
      </c>
      <c r="I110" s="40">
        <f>NPV_IRR!K40</f>
        <v>-3276648.9191082679</v>
      </c>
      <c r="J110" s="39">
        <f>NPV_IRR!L40</f>
        <v>5.2335554895206915E-2</v>
      </c>
      <c r="K110" s="38"/>
      <c r="L110" s="38"/>
      <c r="M110" s="38">
        <f>IF(Investment_Master!AA93="Low",1,IF(Investment_Master!AA93="Medium",2,3))</f>
        <v>3</v>
      </c>
      <c r="N110" s="39">
        <f>Investment_Master!S93</f>
        <v>0.1639166278939809</v>
      </c>
    </row>
    <row r="111" spans="1:14" ht="15" customHeight="1" x14ac:dyDescent="0.25">
      <c r="A111" s="40">
        <f>Investment_Master!J41</f>
        <v>11870000</v>
      </c>
      <c r="B111" s="40">
        <f>Investment_Master!Q41</f>
        <v>13701016.989574749</v>
      </c>
      <c r="C111" s="38"/>
      <c r="D111" s="38"/>
      <c r="E111" s="38"/>
      <c r="F111" s="38"/>
      <c r="G111" s="38"/>
      <c r="H111" s="38" t="str">
        <f>Investment_Master!B41</f>
        <v>Automated Packaging Line – South</v>
      </c>
      <c r="I111" s="40">
        <f>NPV_IRR!K41</f>
        <v>-1742490.4338932075</v>
      </c>
      <c r="J111" s="39">
        <f>NPV_IRR!L41</f>
        <v>4.9806352241822394E-2</v>
      </c>
      <c r="K111" s="38"/>
      <c r="L111" s="38"/>
      <c r="M111" s="38">
        <f>IF(Investment_Master!AA94="Low",1,IF(Investment_Master!AA94="Medium",2,3))</f>
        <v>2</v>
      </c>
      <c r="N111" s="39">
        <f>Investment_Master!S94</f>
        <v>0.26840103093294371</v>
      </c>
    </row>
    <row r="112" spans="1:14" ht="15" customHeight="1" x14ac:dyDescent="0.25">
      <c r="A112" s="40">
        <f>Investment_Master!J42</f>
        <v>31870000</v>
      </c>
      <c r="B112" s="40">
        <f>Investment_Master!Q42</f>
        <v>34020411.403327271</v>
      </c>
      <c r="C112" s="38"/>
      <c r="D112" s="38"/>
      <c r="E112" s="38"/>
      <c r="F112" s="38"/>
      <c r="G112" s="38"/>
      <c r="H112" s="38" t="str">
        <f>Investment_Master!B42</f>
        <v>RPA Finance Rollout – West</v>
      </c>
      <c r="I112" s="40">
        <f>NPV_IRR!K42</f>
        <v>-6722812.5910469815</v>
      </c>
      <c r="J112" s="39">
        <f>NPV_IRR!L42</f>
        <v>2.2167536418655986E-2</v>
      </c>
      <c r="K112" s="38"/>
      <c r="L112" s="38"/>
      <c r="M112" s="38">
        <f>IF(Investment_Master!AA95="Low",1,IF(Investment_Master!AA95="Medium",2,3))</f>
        <v>1</v>
      </c>
      <c r="N112" s="39">
        <f>Investment_Master!S95</f>
        <v>7.6815703817430317E-2</v>
      </c>
    </row>
    <row r="113" spans="1:14" ht="15" customHeight="1" x14ac:dyDescent="0.25">
      <c r="A113" s="40">
        <f>Investment_Master!J43</f>
        <v>11700000</v>
      </c>
      <c r="B113" s="40">
        <f>Investment_Master!Q43</f>
        <v>11098385.454942189</v>
      </c>
      <c r="C113" s="38"/>
      <c r="D113" s="38"/>
      <c r="E113" s="38"/>
      <c r="F113" s="38"/>
      <c r="G113" s="38"/>
      <c r="H113" s="38" t="str">
        <f>Investment_Master!B43</f>
        <v>Leadership Development – North</v>
      </c>
      <c r="I113" s="40">
        <f>NPV_IRR!K43</f>
        <v>-3285677.4511220008</v>
      </c>
      <c r="J113" s="39">
        <f>NPV_IRR!L43</f>
        <v>-1.7342250081645139E-2</v>
      </c>
      <c r="K113" s="38"/>
      <c r="L113" s="38"/>
      <c r="M113" s="38">
        <f>IF(Investment_Master!AA96="Low",1,IF(Investment_Master!AA96="Medium",2,3))</f>
        <v>3</v>
      </c>
      <c r="N113" s="39">
        <f>Investment_Master!S96</f>
        <v>8.0488526764316504E-2</v>
      </c>
    </row>
    <row r="114" spans="1:14" ht="15" customHeight="1" x14ac:dyDescent="0.25">
      <c r="A114" s="40">
        <f>Investment_Master!J44</f>
        <v>42930000</v>
      </c>
      <c r="B114" s="40">
        <f>Investment_Master!Q44</f>
        <v>51007231.589346126</v>
      </c>
      <c r="C114" s="38"/>
      <c r="D114" s="38"/>
      <c r="E114" s="38"/>
      <c r="F114" s="38"/>
      <c r="G114" s="38"/>
      <c r="H114" s="38" t="str">
        <f>Investment_Master!B44</f>
        <v>Plant Utility Upgrade – East</v>
      </c>
      <c r="I114" s="40">
        <f>NPV_IRR!K44</f>
        <v>-5226504.9780760184</v>
      </c>
      <c r="J114" s="39">
        <f>NPV_IRR!L44</f>
        <v>6.0361293623078405E-2</v>
      </c>
      <c r="K114" s="38"/>
      <c r="L114" s="38"/>
      <c r="M114" s="38">
        <f>IF(Investment_Master!AA97="Low",1,IF(Investment_Master!AA97="Medium",2,3))</f>
        <v>2</v>
      </c>
      <c r="N114" s="39">
        <f>Investment_Master!S97</f>
        <v>0.10204177181559984</v>
      </c>
    </row>
    <row r="115" spans="1:14" ht="15" customHeight="1" x14ac:dyDescent="0.25">
      <c r="A115" s="40">
        <f>Investment_Master!J45</f>
        <v>37920000</v>
      </c>
      <c r="B115" s="40">
        <f>Investment_Master!Q45</f>
        <v>42579950.589387186</v>
      </c>
      <c r="C115" s="38"/>
      <c r="D115" s="38"/>
      <c r="E115" s="38"/>
      <c r="F115" s="38"/>
      <c r="G115" s="38"/>
      <c r="H115" s="38" t="str">
        <f>Investment_Master!B45</f>
        <v>ERP Cloud Migration – Central</v>
      </c>
      <c r="I115" s="40">
        <f>NPV_IRR!K45</f>
        <v>-7221761.48367019</v>
      </c>
      <c r="J115" s="39">
        <f>NPV_IRR!L45</f>
        <v>3.9921846528377269E-2</v>
      </c>
      <c r="K115" s="38"/>
      <c r="L115" s="38"/>
      <c r="M115" s="38">
        <f>IF(Investment_Master!AA98="Low",1,IF(Investment_Master!AA98="Medium",2,3))</f>
        <v>1</v>
      </c>
      <c r="N115" s="39">
        <f>Investment_Master!S98</f>
        <v>0.44575724487207546</v>
      </c>
    </row>
    <row r="116" spans="1:14" ht="15" customHeight="1" x14ac:dyDescent="0.25">
      <c r="A116" s="40">
        <f>Investment_Master!J46</f>
        <v>7550000</v>
      </c>
      <c r="B116" s="40">
        <f>Investment_Master!Q46</f>
        <v>9186557.986253472</v>
      </c>
      <c r="C116" s="38"/>
      <c r="D116" s="38"/>
      <c r="E116" s="38"/>
      <c r="F116" s="38"/>
      <c r="G116" s="38"/>
      <c r="H116" s="38" t="str">
        <f>Investment_Master!B46</f>
        <v>Brand Repositioning – South</v>
      </c>
      <c r="I116" s="40">
        <f>NPV_IRR!K46</f>
        <v>-759485.54722838383</v>
      </c>
      <c r="J116" s="39">
        <f>NPV_IRR!L46</f>
        <v>6.9175514612309863E-2</v>
      </c>
      <c r="K116" s="38"/>
      <c r="L116" s="38"/>
      <c r="M116" s="38">
        <f>IF(Investment_Master!AA99="Low",1,IF(Investment_Master!AA99="Medium",2,3))</f>
        <v>3</v>
      </c>
      <c r="N116" s="39">
        <f>Investment_Master!S99</f>
        <v>-4.5980220309967429E-2</v>
      </c>
    </row>
    <row r="117" spans="1:14" ht="15" customHeight="1" x14ac:dyDescent="0.25">
      <c r="A117" s="40">
        <f>Investment_Master!J47</f>
        <v>30280000</v>
      </c>
      <c r="B117" s="40">
        <f>Investment_Master!Q47</f>
        <v>31890205.934885196</v>
      </c>
      <c r="C117" s="38"/>
      <c r="D117" s="38"/>
      <c r="E117" s="38"/>
      <c r="F117" s="38"/>
      <c r="G117" s="38"/>
      <c r="H117" s="38" t="str">
        <f>Investment_Master!B47</f>
        <v>Premium Product Line – West</v>
      </c>
      <c r="I117" s="40">
        <f>NPV_IRR!K47</f>
        <v>-6102205.8536652923</v>
      </c>
      <c r="J117" s="39">
        <f>NPV_IRR!L47</f>
        <v>1.7522836294170174E-2</v>
      </c>
      <c r="K117" s="38"/>
      <c r="L117" s="38"/>
      <c r="M117" s="38">
        <f>IF(Investment_Master!AA100="Low",1,IF(Investment_Master!AA100="Medium",2,3))</f>
        <v>2</v>
      </c>
      <c r="N117" s="39">
        <f>Investment_Master!S100</f>
        <v>5.4713588628050723E-2</v>
      </c>
    </row>
    <row r="118" spans="1:14" ht="15" customHeight="1" x14ac:dyDescent="0.25">
      <c r="A118" s="40">
        <f>Investment_Master!J48</f>
        <v>29100000</v>
      </c>
      <c r="B118" s="40">
        <f>Investment_Master!Q48</f>
        <v>29871723.010598183</v>
      </c>
      <c r="C118" s="38"/>
      <c r="D118" s="38"/>
      <c r="E118" s="38"/>
      <c r="F118" s="38"/>
      <c r="G118" s="38"/>
      <c r="H118" s="38" t="str">
        <f>Investment_Master!B48</f>
        <v>Tier-2 City Expansion – North</v>
      </c>
      <c r="I118" s="40">
        <f>NPV_IRR!K48</f>
        <v>-5861882.9706668481</v>
      </c>
      <c r="J118" s="39">
        <f>NPV_IRR!L48</f>
        <v>8.7886303416104816E-3</v>
      </c>
      <c r="K118" s="38"/>
      <c r="L118" s="38"/>
      <c r="M118" s="38">
        <f>IF(Investment_Master!AA101="Low",1,IF(Investment_Master!AA101="Medium",2,3))</f>
        <v>1</v>
      </c>
      <c r="N118" s="39">
        <f>Investment_Master!S101</f>
        <v>0.28537394471503391</v>
      </c>
    </row>
    <row r="119" spans="1:14" ht="15" customHeight="1" x14ac:dyDescent="0.25">
      <c r="A119" s="40">
        <f>Investment_Master!J49</f>
        <v>33850000</v>
      </c>
      <c r="B119" s="40">
        <f>Investment_Master!Q49</f>
        <v>39398765.87988431</v>
      </c>
      <c r="C119" s="38"/>
      <c r="D119" s="38"/>
      <c r="E119" s="38"/>
      <c r="F119" s="38"/>
      <c r="G119" s="38"/>
      <c r="H119" s="38" t="str">
        <f>Investment_Master!B49</f>
        <v>Automated Packaging Line – East</v>
      </c>
      <c r="I119" s="40">
        <f>NPV_IRR!K49</f>
        <v>-4727243.7370932214</v>
      </c>
      <c r="J119" s="39">
        <f>NPV_IRR!L49</f>
        <v>5.2829642665181531E-2</v>
      </c>
      <c r="K119" s="38"/>
      <c r="L119" s="38"/>
      <c r="M119" s="38">
        <f>IF(Investment_Master!AA102="Low",1,IF(Investment_Master!AA102="Medium",2,3))</f>
        <v>3</v>
      </c>
      <c r="N119" s="39">
        <f>Investment_Master!S102</f>
        <v>0.12595014089173551</v>
      </c>
    </row>
    <row r="120" spans="1:14" ht="15" customHeight="1" x14ac:dyDescent="0.25">
      <c r="A120" s="40">
        <f>Investment_Master!J50</f>
        <v>13720000</v>
      </c>
      <c r="B120" s="40">
        <f>Investment_Master!Q50</f>
        <v>18283213.845381949</v>
      </c>
      <c r="C120" s="38"/>
      <c r="D120" s="38"/>
      <c r="E120" s="38"/>
      <c r="F120" s="38"/>
      <c r="G120" s="38"/>
      <c r="H120" s="38" t="str">
        <f>Investment_Master!B50</f>
        <v>RPA Finance Rollout – Central</v>
      </c>
      <c r="I120" s="40">
        <f>NPV_IRR!K50</f>
        <v>141553.02946784906</v>
      </c>
      <c r="J120" s="39">
        <f>NPV_IRR!L50</f>
        <v>0.10403045792269872</v>
      </c>
      <c r="K120" s="38"/>
      <c r="L120" s="38"/>
      <c r="M120" s="38">
        <f>IF(Investment_Master!AA103="Low",1,IF(Investment_Master!AA103="Medium",2,3))</f>
        <v>2</v>
      </c>
      <c r="N120" s="39">
        <f>Investment_Master!S103</f>
        <v>5.8332881243436253E-2</v>
      </c>
    </row>
    <row r="121" spans="1:14" ht="15" customHeight="1" x14ac:dyDescent="0.25">
      <c r="A121" s="40">
        <f>Investment_Master!J51</f>
        <v>2590000</v>
      </c>
      <c r="B121" s="40">
        <f>Investment_Master!Q51</f>
        <v>2597148.2197280112</v>
      </c>
      <c r="C121" s="38"/>
      <c r="D121" s="38"/>
      <c r="E121" s="38"/>
      <c r="F121" s="38"/>
      <c r="G121" s="38"/>
      <c r="H121" s="38" t="str">
        <f>Investment_Master!B51</f>
        <v>Leadership Development – South</v>
      </c>
      <c r="I121" s="40">
        <f>NPV_IRR!K51</f>
        <v>-717572.38071235432</v>
      </c>
      <c r="J121" s="39">
        <f>NPV_IRR!L51</f>
        <v>9.1941351061697318E-4</v>
      </c>
      <c r="K121" s="38"/>
      <c r="L121" s="38"/>
      <c r="M121" s="38">
        <f>IF(Investment_Master!AA104="Low",1,IF(Investment_Master!AA104="Medium",2,3))</f>
        <v>1</v>
      </c>
      <c r="N121" s="39">
        <f>Investment_Master!S104</f>
        <v>-1.7373702485281091E-2</v>
      </c>
    </row>
    <row r="122" spans="1:14" ht="15" customHeight="1" x14ac:dyDescent="0.25">
      <c r="A122" s="40">
        <f>Investment_Master!J52</f>
        <v>18450000</v>
      </c>
      <c r="B122" s="40">
        <f>Investment_Master!Q52</f>
        <v>20829100.3014859</v>
      </c>
      <c r="C122" s="38"/>
      <c r="D122" s="38"/>
      <c r="E122" s="38"/>
      <c r="F122" s="38"/>
      <c r="G122" s="38"/>
      <c r="H122" s="38" t="str">
        <f>Investment_Master!B52</f>
        <v>Plant Utility Upgrade – West</v>
      </c>
      <c r="I122" s="40">
        <f>NPV_IRR!K52</f>
        <v>-3053558.0630833376</v>
      </c>
      <c r="J122" s="39">
        <f>NPV_IRR!L52</f>
        <v>4.18403518828947E-2</v>
      </c>
      <c r="K122" s="38"/>
      <c r="L122" s="38"/>
      <c r="M122" s="38">
        <f>IF(Investment_Master!AA105="Low",1,IF(Investment_Master!AA105="Medium",2,3))</f>
        <v>3</v>
      </c>
      <c r="N122" s="39">
        <f>Investment_Master!S105</f>
        <v>0.23570228906668914</v>
      </c>
    </row>
    <row r="123" spans="1:14" ht="15" customHeight="1" x14ac:dyDescent="0.25">
      <c r="A123" s="40">
        <f>Investment_Master!J53</f>
        <v>16470000</v>
      </c>
      <c r="B123" s="40">
        <f>Investment_Master!Q53</f>
        <v>20177772.041928127</v>
      </c>
      <c r="C123" s="38"/>
      <c r="D123" s="38"/>
      <c r="E123" s="38"/>
      <c r="F123" s="38"/>
      <c r="G123" s="38"/>
      <c r="H123" s="38" t="str">
        <f>Investment_Master!B53</f>
        <v>ERP Cloud Migration – North</v>
      </c>
      <c r="I123" s="40">
        <f>NPV_IRR!K53</f>
        <v>-1555006.497485416</v>
      </c>
      <c r="J123" s="39">
        <f>NPV_IRR!L53</f>
        <v>7.1734679189317418E-2</v>
      </c>
      <c r="K123" s="38"/>
      <c r="L123" s="38"/>
      <c r="M123" s="38">
        <f>IF(Investment_Master!AA106="Low",1,IF(Investment_Master!AA106="Medium",2,3))</f>
        <v>2</v>
      </c>
      <c r="N123" s="39">
        <f>Investment_Master!S106</f>
        <v>0.31206338386321308</v>
      </c>
    </row>
    <row r="124" spans="1:14" ht="15" customHeight="1" x14ac:dyDescent="0.25">
      <c r="A124" s="40">
        <f>Investment_Master!J54</f>
        <v>12120000</v>
      </c>
      <c r="B124" s="40">
        <f>Investment_Master!Q54</f>
        <v>12742205.603248136</v>
      </c>
      <c r="C124" s="38"/>
      <c r="D124" s="38"/>
      <c r="E124" s="38"/>
      <c r="F124" s="38"/>
      <c r="G124" s="38"/>
      <c r="H124" s="38" t="str">
        <f>Investment_Master!B54</f>
        <v>Brand Repositioning – East</v>
      </c>
      <c r="I124" s="40">
        <f>NPV_IRR!K54</f>
        <v>-2933440.0952047892</v>
      </c>
      <c r="J124" s="39">
        <f>NPV_IRR!L54</f>
        <v>1.6923059334829071E-2</v>
      </c>
      <c r="K124" s="38"/>
      <c r="L124" s="38"/>
      <c r="M124" s="38">
        <f>IF(Investment_Master!AA107="Low",1,IF(Investment_Master!AA107="Medium",2,3))</f>
        <v>1</v>
      </c>
      <c r="N124" s="39">
        <f>Investment_Master!S107</f>
        <v>5.4344064025292668E-2</v>
      </c>
    </row>
    <row r="125" spans="1:14" ht="15" customHeight="1" x14ac:dyDescent="0.25">
      <c r="A125" s="40">
        <f>Investment_Master!J55</f>
        <v>23560000</v>
      </c>
      <c r="B125" s="40">
        <f>Investment_Master!Q55</f>
        <v>26884269.719503313</v>
      </c>
      <c r="C125" s="38"/>
      <c r="D125" s="38"/>
      <c r="E125" s="38"/>
      <c r="F125" s="38"/>
      <c r="G125" s="38"/>
      <c r="H125" s="38" t="str">
        <f>Investment_Master!B55</f>
        <v>Premium Product Line – Central</v>
      </c>
      <c r="I125" s="40">
        <f>NPV_IRR!K55</f>
        <v>-3687701.5444007777</v>
      </c>
      <c r="J125" s="39">
        <f>NPV_IRR!L55</f>
        <v>4.5673938629395394E-2</v>
      </c>
      <c r="K125" s="38"/>
      <c r="L125" s="38"/>
      <c r="M125" s="38">
        <f>IF(Investment_Master!AA108="Low",1,IF(Investment_Master!AA108="Medium",2,3))</f>
        <v>3</v>
      </c>
      <c r="N125" s="39">
        <f>Investment_Master!S108</f>
        <v>0.12843298488395485</v>
      </c>
    </row>
    <row r="126" spans="1:14" ht="15" customHeight="1" x14ac:dyDescent="0.25">
      <c r="A126" s="40">
        <f>Investment_Master!J56</f>
        <v>47240000</v>
      </c>
      <c r="B126" s="40">
        <f>Investment_Master!Q56</f>
        <v>56375430.813380294</v>
      </c>
      <c r="C126" s="38"/>
      <c r="D126" s="38"/>
      <c r="E126" s="38"/>
      <c r="F126" s="38"/>
      <c r="G126" s="38"/>
      <c r="H126" s="38" t="str">
        <f>Investment_Master!B56</f>
        <v>Tier-2 City Expansion – South</v>
      </c>
      <c r="I126" s="40">
        <f>NPV_IRR!K56</f>
        <v>-3383846.862947613</v>
      </c>
      <c r="J126" s="39">
        <f>NPV_IRR!L56</f>
        <v>6.1980212920259126E-2</v>
      </c>
      <c r="K126" s="38"/>
      <c r="L126" s="38"/>
      <c r="M126" s="38">
        <f>IF(Investment_Master!AA109="Low",1,IF(Investment_Master!AA109="Medium",2,3))</f>
        <v>2</v>
      </c>
      <c r="N126" s="39">
        <f>Investment_Master!S109</f>
        <v>0.15555690015774115</v>
      </c>
    </row>
    <row r="127" spans="1:14" ht="15" customHeight="1" x14ac:dyDescent="0.25">
      <c r="A127" s="40">
        <f>Investment_Master!J57</f>
        <v>30060000</v>
      </c>
      <c r="B127" s="40">
        <f>Investment_Master!Q57</f>
        <v>36095803.209044605</v>
      </c>
      <c r="C127" s="38"/>
      <c r="D127" s="38"/>
      <c r="E127" s="38"/>
      <c r="F127" s="38"/>
      <c r="G127" s="38"/>
      <c r="H127" s="38" t="str">
        <f>Investment_Master!B57</f>
        <v>Automated Packaging Line – West</v>
      </c>
      <c r="I127" s="40">
        <f>NPV_IRR!K57</f>
        <v>-3378725.7140060104</v>
      </c>
      <c r="J127" s="39">
        <f>NPV_IRR!L57</f>
        <v>6.4266499925562215E-2</v>
      </c>
      <c r="K127" s="38"/>
      <c r="L127" s="38"/>
      <c r="M127" s="38">
        <f>IF(Investment_Master!AA110="Low",1,IF(Investment_Master!AA110="Medium",2,3))</f>
        <v>1</v>
      </c>
      <c r="N127" s="39">
        <f>Investment_Master!S110</f>
        <v>0.14088085360850838</v>
      </c>
    </row>
    <row r="128" spans="1:14" ht="15" customHeight="1" x14ac:dyDescent="0.25">
      <c r="A128" s="40">
        <f>Investment_Master!J58</f>
        <v>31570000</v>
      </c>
      <c r="B128" s="40">
        <f>Investment_Master!Q58</f>
        <v>38980444.078842774</v>
      </c>
      <c r="C128" s="38"/>
      <c r="D128" s="38"/>
      <c r="E128" s="38"/>
      <c r="F128" s="38"/>
      <c r="G128" s="38"/>
      <c r="H128" s="38" t="str">
        <f>Investment_Master!B58</f>
        <v>RPA Finance Rollout – North</v>
      </c>
      <c r="I128" s="40">
        <f>NPV_IRR!K58</f>
        <v>-2016689.6640513912</v>
      </c>
      <c r="J128" s="39">
        <f>NPV_IRR!L58</f>
        <v>7.4666997455639095E-2</v>
      </c>
      <c r="K128" s="38"/>
      <c r="L128" s="38"/>
      <c r="M128" s="38">
        <f>IF(Investment_Master!AA111="Low",1,IF(Investment_Master!AA111="Medium",2,3))</f>
        <v>3</v>
      </c>
      <c r="N128" s="39">
        <f>Investment_Master!S111</f>
        <v>2.3893972921018032E-2</v>
      </c>
    </row>
    <row r="129" spans="1:14" ht="15" customHeight="1" x14ac:dyDescent="0.25">
      <c r="A129" s="40">
        <f>Investment_Master!J59</f>
        <v>7880000</v>
      </c>
      <c r="B129" s="40">
        <f>Investment_Master!Q59</f>
        <v>7750179.3116272902</v>
      </c>
      <c r="C129" s="38"/>
      <c r="D129" s="38"/>
      <c r="E129" s="38"/>
      <c r="F129" s="38"/>
      <c r="G129" s="38"/>
      <c r="H129" s="38" t="str">
        <f>Investment_Master!B59</f>
        <v>Leadership Development – East</v>
      </c>
      <c r="I129" s="40">
        <f>NPV_IRR!K59</f>
        <v>-2004144.5609880397</v>
      </c>
      <c r="J129" s="39">
        <f>NPV_IRR!L59</f>
        <v>-5.5118785074210752E-3</v>
      </c>
      <c r="K129" s="38"/>
      <c r="L129" s="38"/>
      <c r="M129" s="38">
        <f>IF(Investment_Master!AA112="Low",1,IF(Investment_Master!AA112="Medium",2,3))</f>
        <v>2</v>
      </c>
      <c r="N129" s="39">
        <f>Investment_Master!S112</f>
        <v>0.12856221018510014</v>
      </c>
    </row>
    <row r="130" spans="1:14" ht="15" customHeight="1" x14ac:dyDescent="0.25">
      <c r="A130" s="40">
        <f>Investment_Master!J60</f>
        <v>59340000</v>
      </c>
      <c r="B130" s="40">
        <f>Investment_Master!Q60</f>
        <v>59157062.284091026</v>
      </c>
      <c r="C130" s="38"/>
      <c r="D130" s="38"/>
      <c r="E130" s="38"/>
      <c r="F130" s="38"/>
      <c r="G130" s="38"/>
      <c r="H130" s="38" t="str">
        <f>Investment_Master!B60</f>
        <v>Plant Utility Upgrade – Central</v>
      </c>
      <c r="I130" s="40">
        <f>NPV_IRR!K60</f>
        <v>-16690405.935533501</v>
      </c>
      <c r="J130" s="39">
        <f>NPV_IRR!L60</f>
        <v>-1.0283298508414473E-3</v>
      </c>
      <c r="K130" s="38"/>
      <c r="L130" s="38"/>
      <c r="M130" s="38">
        <f>IF(Investment_Master!AA113="Low",1,IF(Investment_Master!AA113="Medium",2,3))</f>
        <v>1</v>
      </c>
      <c r="N130" s="39">
        <f>Investment_Master!S113</f>
        <v>0.13844489330352647</v>
      </c>
    </row>
    <row r="131" spans="1:14" ht="15" customHeight="1" x14ac:dyDescent="0.25">
      <c r="A131" s="40">
        <f>Investment_Master!J61</f>
        <v>13950000</v>
      </c>
      <c r="B131" s="40">
        <f>Investment_Master!Q61</f>
        <v>16475325.309615923</v>
      </c>
      <c r="C131" s="38"/>
      <c r="D131" s="38"/>
      <c r="E131" s="38"/>
      <c r="F131" s="38"/>
      <c r="G131" s="38"/>
      <c r="H131" s="38" t="str">
        <f>Investment_Master!B61</f>
        <v>ERP Cloud Migration – South</v>
      </c>
      <c r="I131" s="40">
        <f>NPV_IRR!K61</f>
        <v>-1459110.9589215666</v>
      </c>
      <c r="J131" s="39">
        <f>NPV_IRR!L61</f>
        <v>5.8153868814631693E-2</v>
      </c>
      <c r="K131" s="38"/>
      <c r="L131" s="38"/>
      <c r="M131" s="38">
        <f>IF(Investment_Master!AA114="Low",1,IF(Investment_Master!AA114="Medium",2,3))</f>
        <v>3</v>
      </c>
      <c r="N131" s="39">
        <f>Investment_Master!S114</f>
        <v>0.25339000010004892</v>
      </c>
    </row>
    <row r="132" spans="1:14" ht="15" customHeight="1" x14ac:dyDescent="0.25">
      <c r="A132" s="40">
        <f>Investment_Master!J62</f>
        <v>5930000</v>
      </c>
      <c r="B132" s="40">
        <f>Investment_Master!Q62</f>
        <v>6803712.656552393</v>
      </c>
      <c r="C132" s="38"/>
      <c r="D132" s="38"/>
      <c r="E132" s="38"/>
      <c r="F132" s="38"/>
      <c r="G132" s="38"/>
      <c r="H132" s="38" t="str">
        <f>Investment_Master!B62</f>
        <v>Brand Repositioning – West</v>
      </c>
      <c r="I132" s="40">
        <f>NPV_IRR!K62</f>
        <v>-771715.21573687717</v>
      </c>
      <c r="J132" s="39">
        <f>NPV_IRR!L62</f>
        <v>4.7636086314546855E-2</v>
      </c>
      <c r="K132" s="38"/>
      <c r="L132" s="38"/>
      <c r="M132" s="38">
        <f>IF(Investment_Master!AA115="Low",1,IF(Investment_Master!AA115="Medium",2,3))</f>
        <v>2</v>
      </c>
      <c r="N132" s="39">
        <f>Investment_Master!S115</f>
        <v>-0.1010643962629646</v>
      </c>
    </row>
    <row r="133" spans="1:14" ht="15" customHeight="1" x14ac:dyDescent="0.25">
      <c r="A133" s="40">
        <f>Investment_Master!J63</f>
        <v>24080000</v>
      </c>
      <c r="B133" s="40">
        <f>Investment_Master!Q63</f>
        <v>22908321.698315583</v>
      </c>
      <c r="C133" s="38"/>
      <c r="D133" s="38"/>
      <c r="E133" s="38"/>
      <c r="F133" s="38"/>
      <c r="G133" s="38"/>
      <c r="H133" s="38" t="str">
        <f>Investment_Master!B63</f>
        <v>Premium Product Line – North</v>
      </c>
      <c r="I133" s="40">
        <f>NPV_IRR!K63</f>
        <v>-7146640.4311681874</v>
      </c>
      <c r="J133" s="39">
        <f>NPV_IRR!L63</f>
        <v>-1.6400017826666113E-2</v>
      </c>
      <c r="K133" s="38"/>
      <c r="L133" s="38"/>
      <c r="M133" s="38">
        <f>IF(Investment_Master!AA116="Low",1,IF(Investment_Master!AA116="Medium",2,3))</f>
        <v>1</v>
      </c>
      <c r="N133" s="39">
        <f>Investment_Master!S116</f>
        <v>5.374570044300165E-2</v>
      </c>
    </row>
    <row r="134" spans="1:14" ht="15" customHeight="1" x14ac:dyDescent="0.25">
      <c r="A134" s="40">
        <f>Investment_Master!J64</f>
        <v>41450000</v>
      </c>
      <c r="B134" s="40">
        <f>Investment_Master!Q64</f>
        <v>45758365.510632202</v>
      </c>
      <c r="C134" s="38"/>
      <c r="D134" s="38"/>
      <c r="E134" s="38"/>
      <c r="F134" s="38"/>
      <c r="G134" s="38"/>
      <c r="H134" s="38" t="str">
        <f>Investment_Master!B64</f>
        <v>Tier-2 City Expansion – East</v>
      </c>
      <c r="I134" s="40">
        <f>NPV_IRR!K64</f>
        <v>-5853183.1565319672</v>
      </c>
      <c r="J134" s="39">
        <f>NPV_IRR!L64</f>
        <v>3.3894264033722754E-2</v>
      </c>
      <c r="K134" s="38"/>
      <c r="L134" s="38"/>
      <c r="M134" s="38">
        <f>IF(Investment_Master!AA117="Low",1,IF(Investment_Master!AA117="Medium",2,3))</f>
        <v>3</v>
      </c>
      <c r="N134" s="39">
        <f>Investment_Master!S117</f>
        <v>0.2558908941704196</v>
      </c>
    </row>
    <row r="135" spans="1:14" ht="15" customHeight="1" x14ac:dyDescent="0.25">
      <c r="A135" s="40">
        <f>Investment_Master!J65</f>
        <v>43790000</v>
      </c>
      <c r="B135" s="40">
        <f>Investment_Master!Q65</f>
        <v>52157554.822789542</v>
      </c>
      <c r="C135" s="38"/>
      <c r="D135" s="38"/>
      <c r="E135" s="38"/>
      <c r="F135" s="38"/>
      <c r="G135" s="38"/>
      <c r="H135" s="38" t="str">
        <f>Investment_Master!B65</f>
        <v>Automated Packaging Line – Central</v>
      </c>
      <c r="I135" s="40">
        <f>NPV_IRR!K65</f>
        <v>-4246366.2506147325</v>
      </c>
      <c r="J135" s="39">
        <f>NPV_IRR!L65</f>
        <v>6.1269329820619722E-2</v>
      </c>
      <c r="K135" s="38"/>
      <c r="L135" s="38"/>
      <c r="M135" s="38">
        <f>IF(Investment_Master!AA118="Low",1,IF(Investment_Master!AA118="Medium",2,3))</f>
        <v>2</v>
      </c>
      <c r="N135" s="39">
        <f>Investment_Master!S118</f>
        <v>0.2435981657026208</v>
      </c>
    </row>
    <row r="136" spans="1:14" ht="15" customHeight="1" x14ac:dyDescent="0.25">
      <c r="A136" s="40">
        <f>Investment_Master!J66</f>
        <v>13470000</v>
      </c>
      <c r="B136" s="40">
        <f>Investment_Master!Q66</f>
        <v>15722295.962148901</v>
      </c>
      <c r="C136" s="38"/>
      <c r="D136" s="38"/>
      <c r="E136" s="38"/>
      <c r="F136" s="38"/>
      <c r="G136" s="38"/>
      <c r="H136" s="38" t="str">
        <f>Investment_Master!B66</f>
        <v>RPA Finance Rollout – South</v>
      </c>
      <c r="I136" s="40">
        <f>NPV_IRR!K66</f>
        <v>-2134928.3338841386</v>
      </c>
      <c r="J136" s="39">
        <f>NPV_IRR!L66</f>
        <v>5.3855038500927321E-2</v>
      </c>
      <c r="K136" s="38"/>
      <c r="L136" s="38"/>
      <c r="M136" s="38">
        <f>IF(Investment_Master!AA119="Low",1,IF(Investment_Master!AA119="Medium",2,3))</f>
        <v>1</v>
      </c>
      <c r="N136" s="39">
        <f>Investment_Master!S119</f>
        <v>0.15233984277628887</v>
      </c>
    </row>
    <row r="137" spans="1:14" ht="15" customHeight="1" x14ac:dyDescent="0.25">
      <c r="A137" s="40">
        <f>Investment_Master!J67</f>
        <v>7950000</v>
      </c>
      <c r="B137" s="40">
        <f>Investment_Master!Q67</f>
        <v>7691943.6891501099</v>
      </c>
      <c r="C137" s="38"/>
      <c r="D137" s="38"/>
      <c r="E137" s="38"/>
      <c r="F137" s="38"/>
      <c r="G137" s="38"/>
      <c r="H137" s="38" t="str">
        <f>Investment_Master!B67</f>
        <v>Leadership Development – West</v>
      </c>
      <c r="I137" s="40">
        <f>NPV_IRR!K67</f>
        <v>-2118296.3264269931</v>
      </c>
      <c r="J137" s="39">
        <f>NPV_IRR!L67</f>
        <v>-1.0899602643525186E-2</v>
      </c>
      <c r="K137" s="38"/>
      <c r="L137" s="38"/>
      <c r="M137" s="38">
        <f>IF(Investment_Master!AA120="Low",1,IF(Investment_Master!AA120="Medium",2,3))</f>
        <v>3</v>
      </c>
      <c r="N137" s="39">
        <f>Investment_Master!S120</f>
        <v>0.1283503681175473</v>
      </c>
    </row>
    <row r="138" spans="1:14" ht="15" customHeight="1" x14ac:dyDescent="0.25">
      <c r="A138" s="40">
        <f>Investment_Master!J68</f>
        <v>39160000</v>
      </c>
      <c r="B138" s="40">
        <f>Investment_Master!Q68</f>
        <v>44748260.064676315</v>
      </c>
      <c r="C138" s="38"/>
      <c r="D138" s="38"/>
      <c r="E138" s="38"/>
      <c r="F138" s="38"/>
      <c r="G138" s="38"/>
      <c r="H138" s="38" t="str">
        <f>Investment_Master!B68</f>
        <v>Plant Utility Upgrade – North</v>
      </c>
      <c r="I138" s="40">
        <f>NPV_IRR!K68</f>
        <v>-5233777.5585553274</v>
      </c>
      <c r="J138" s="39">
        <f>NPV_IRR!L68</f>
        <v>4.6179155509859626E-2</v>
      </c>
      <c r="K138" s="38"/>
      <c r="L138" s="38"/>
      <c r="M138" s="38">
        <f>IF(Investment_Master!AA121="Low",1,IF(Investment_Master!AA121="Medium",2,3))</f>
        <v>2</v>
      </c>
      <c r="N138" s="39">
        <f>Investment_Master!S121</f>
        <v>0.20047384630128892</v>
      </c>
    </row>
    <row r="139" spans="1:14" ht="15" customHeight="1" x14ac:dyDescent="0.25">
      <c r="A139" s="40">
        <f>Investment_Master!J69</f>
        <v>35300000</v>
      </c>
      <c r="B139" s="40">
        <f>Investment_Master!Q69</f>
        <v>41329239.746091165</v>
      </c>
      <c r="C139" s="38"/>
      <c r="D139" s="38"/>
      <c r="E139" s="38"/>
      <c r="F139" s="38"/>
      <c r="G139" s="38"/>
      <c r="H139" s="38" t="str">
        <f>Investment_Master!B69</f>
        <v>ERP Cloud Migration – East</v>
      </c>
      <c r="I139" s="40">
        <f>NPV_IRR!K69</f>
        <v>-4750277.2161403932</v>
      </c>
      <c r="J139" s="39">
        <f>NPV_IRR!L69</f>
        <v>5.4974402441971382E-2</v>
      </c>
      <c r="K139" s="38"/>
      <c r="L139" s="38"/>
      <c r="M139" s="38">
        <f>IF(Investment_Master!AA122="Low",1,IF(Investment_Master!AA122="Medium",2,3))</f>
        <v>1</v>
      </c>
      <c r="N139" s="39">
        <f>Investment_Master!S122</f>
        <v>0.20828298451899124</v>
      </c>
    </row>
    <row r="140" spans="1:14" ht="15" customHeight="1" x14ac:dyDescent="0.25">
      <c r="A140" s="40">
        <f>Investment_Master!J70</f>
        <v>14560000</v>
      </c>
      <c r="B140" s="40">
        <f>Investment_Master!Q70</f>
        <v>17455115.044483081</v>
      </c>
      <c r="C140" s="38"/>
      <c r="D140" s="38"/>
      <c r="E140" s="38"/>
      <c r="F140" s="38"/>
      <c r="G140" s="38"/>
      <c r="H140" s="38" t="str">
        <f>Investment_Master!B70</f>
        <v>Brand Repositioning – Central</v>
      </c>
      <c r="I140" s="40">
        <f>NPV_IRR!K70</f>
        <v>-1326276.1661742404</v>
      </c>
      <c r="J140" s="39">
        <f>NPV_IRR!L70</f>
        <v>6.3664812606374133E-2</v>
      </c>
      <c r="K140" s="38"/>
      <c r="L140" s="38"/>
      <c r="M140" s="38">
        <f>IF(Investment_Master!AA123="Low",1,IF(Investment_Master!AA123="Medium",2,3))</f>
        <v>3</v>
      </c>
      <c r="N140" s="39">
        <f>Investment_Master!S123</f>
        <v>-7.9991255952707452E-2</v>
      </c>
    </row>
    <row r="141" spans="1:14" ht="15" customHeight="1" x14ac:dyDescent="0.25">
      <c r="A141" s="40">
        <f>Investment_Master!J71</f>
        <v>44730000</v>
      </c>
      <c r="B141" s="40">
        <f>Investment_Master!Q71</f>
        <v>48158961.320570201</v>
      </c>
      <c r="C141" s="38"/>
      <c r="D141" s="38"/>
      <c r="E141" s="38"/>
      <c r="F141" s="38"/>
      <c r="G141" s="38"/>
      <c r="H141" s="38" t="str">
        <f>Investment_Master!B71</f>
        <v>Premium Product Line – South</v>
      </c>
      <c r="I141" s="40">
        <f>NPV_IRR!K71</f>
        <v>-8217929.3195058629</v>
      </c>
      <c r="J141" s="39">
        <f>NPV_IRR!L71</f>
        <v>2.5137100930855416E-2</v>
      </c>
      <c r="K141" s="38"/>
      <c r="L141" s="38"/>
      <c r="M141" s="38">
        <f>IF(Investment_Master!AA124="Low",1,IF(Investment_Master!AA124="Medium",2,3))</f>
        <v>2</v>
      </c>
      <c r="N141" s="39">
        <f>Investment_Master!S124</f>
        <v>6.3249870744880823E-2</v>
      </c>
    </row>
    <row r="142" spans="1:14" ht="15" customHeight="1" x14ac:dyDescent="0.25">
      <c r="A142" s="40">
        <f>Investment_Master!J72</f>
        <v>40500000</v>
      </c>
      <c r="B142" s="40">
        <f>Investment_Master!Q72</f>
        <v>48108257.324564971</v>
      </c>
      <c r="C142" s="38"/>
      <c r="D142" s="38"/>
      <c r="E142" s="38"/>
      <c r="F142" s="38"/>
      <c r="G142" s="38"/>
      <c r="H142" s="38" t="str">
        <f>Investment_Master!B72</f>
        <v>Tier-2 City Expansion – West</v>
      </c>
      <c r="I142" s="40">
        <f>NPV_IRR!K72</f>
        <v>-3075131.2239712849</v>
      </c>
      <c r="J142" s="39">
        <f>NPV_IRR!L72</f>
        <v>6.0271306582937889E-2</v>
      </c>
      <c r="K142" s="38"/>
      <c r="L142" s="38"/>
      <c r="M142" s="38">
        <f>IF(Investment_Master!AA125="Low",1,IF(Investment_Master!AA125="Medium",2,3))</f>
        <v>1</v>
      </c>
      <c r="N142" s="39">
        <f>Investment_Master!S125</f>
        <v>0.1458967420481688</v>
      </c>
    </row>
    <row r="143" spans="1:14" ht="15" customHeight="1" x14ac:dyDescent="0.25">
      <c r="A143" s="40">
        <f>Investment_Master!J73</f>
        <v>23270000</v>
      </c>
      <c r="B143" s="40">
        <f>Investment_Master!Q73</f>
        <v>29031634.27574262</v>
      </c>
      <c r="C143" s="38"/>
      <c r="D143" s="38"/>
      <c r="E143" s="38"/>
      <c r="F143" s="38"/>
      <c r="G143" s="38"/>
      <c r="H143" s="38" t="str">
        <f>Investment_Master!B73</f>
        <v>Automated Packaging Line – North</v>
      </c>
      <c r="I143" s="40">
        <f>NPV_IRR!K73</f>
        <v>-1259452.9786420166</v>
      </c>
      <c r="J143" s="39">
        <f>NPV_IRR!L73</f>
        <v>7.8580058271160214E-2</v>
      </c>
      <c r="K143" s="38"/>
      <c r="L143" s="38"/>
      <c r="M143" s="38">
        <f>IF(Investment_Master!AA126="Low",1,IF(Investment_Master!AA126="Medium",2,3))</f>
        <v>3</v>
      </c>
      <c r="N143" s="39">
        <f>Investment_Master!S126</f>
        <v>0.2222791839566923</v>
      </c>
    </row>
    <row r="144" spans="1:14" ht="15" customHeight="1" x14ac:dyDescent="0.25">
      <c r="A144" s="40">
        <f>Investment_Master!J74</f>
        <v>30070000</v>
      </c>
      <c r="B144" s="40">
        <f>Investment_Master!Q74</f>
        <v>34815415.20486667</v>
      </c>
      <c r="C144" s="38"/>
      <c r="D144" s="38"/>
      <c r="E144" s="38"/>
      <c r="F144" s="38"/>
      <c r="G144" s="38"/>
      <c r="H144" s="38" t="str">
        <f>Investment_Master!B74</f>
        <v>RPA Finance Rollout – East</v>
      </c>
      <c r="I144" s="40">
        <f>NPV_IRR!K74</f>
        <v>-3674436.9339859486</v>
      </c>
      <c r="J144" s="39">
        <f>NPV_IRR!L74</f>
        <v>5.0919904333440513E-2</v>
      </c>
      <c r="K144" s="38"/>
      <c r="L144" s="38"/>
      <c r="M144" s="38">
        <f>IF(Investment_Master!AA127="Low",1,IF(Investment_Master!AA127="Medium",2,3))</f>
        <v>2</v>
      </c>
      <c r="N144" s="39">
        <f>Investment_Master!S127</f>
        <v>4.398127845598343E-2</v>
      </c>
    </row>
    <row r="145" spans="1:14" ht="15" customHeight="1" x14ac:dyDescent="0.25">
      <c r="A145" s="40">
        <f>Investment_Master!J75</f>
        <v>9280000</v>
      </c>
      <c r="B145" s="40">
        <f>Investment_Master!Q75</f>
        <v>9143151.1265744995</v>
      </c>
      <c r="C145" s="38"/>
      <c r="D145" s="38"/>
      <c r="E145" s="38"/>
      <c r="F145" s="38"/>
      <c r="G145" s="38"/>
      <c r="H145" s="38" t="str">
        <f>Investment_Master!B75</f>
        <v>Leadership Development – Central</v>
      </c>
      <c r="I145" s="40">
        <f>NPV_IRR!K75</f>
        <v>-2521571.0038749939</v>
      </c>
      <c r="J145" s="39">
        <f>NPV_IRR!L75</f>
        <v>-4.931803684160907E-3</v>
      </c>
      <c r="K145" s="38"/>
      <c r="L145" s="38"/>
      <c r="M145" s="38">
        <f>IF(Investment_Master!AA128="Low",1,IF(Investment_Master!AA128="Medium",2,3))</f>
        <v>1</v>
      </c>
      <c r="N145" s="39">
        <f>Investment_Master!S128</f>
        <v>9.3275992333853308E-2</v>
      </c>
    </row>
    <row r="146" spans="1:14" ht="15" customHeight="1" x14ac:dyDescent="0.25">
      <c r="A146" s="40">
        <f>Investment_Master!J76</f>
        <v>18650000</v>
      </c>
      <c r="B146" s="40">
        <f>Investment_Master!Q76</f>
        <v>19168745.28470847</v>
      </c>
      <c r="C146" s="38"/>
      <c r="D146" s="38"/>
      <c r="E146" s="38"/>
      <c r="F146" s="38"/>
      <c r="G146" s="38"/>
      <c r="H146" s="38" t="str">
        <f>Investment_Master!B76</f>
        <v>Plant Utility Upgrade – South</v>
      </c>
      <c r="I146" s="40">
        <f>NPV_IRR!K76</f>
        <v>-4480858.2940327451</v>
      </c>
      <c r="J146" s="39">
        <f>NPV_IRR!L76</f>
        <v>9.215234477823131E-3</v>
      </c>
      <c r="K146" s="38"/>
      <c r="L146" s="38"/>
      <c r="M146" s="38">
        <f>IF(Investment_Master!AA129="Low",1,IF(Investment_Master!AA129="Medium",2,3))</f>
        <v>3</v>
      </c>
      <c r="N146" s="39">
        <f>Investment_Master!S129</f>
        <v>0.19437892493862891</v>
      </c>
    </row>
    <row r="147" spans="1:14" ht="15" customHeight="1" x14ac:dyDescent="0.25">
      <c r="A147" s="40">
        <f>Investment_Master!J77</f>
        <v>26390000</v>
      </c>
      <c r="B147" s="40">
        <f>Investment_Master!Q77</f>
        <v>31471410.924414568</v>
      </c>
      <c r="C147" s="38"/>
      <c r="D147" s="38"/>
      <c r="E147" s="38"/>
      <c r="F147" s="38"/>
      <c r="G147" s="38"/>
      <c r="H147" s="38" t="str">
        <f>Investment_Master!B77</f>
        <v>ERP Cloud Migration – West</v>
      </c>
      <c r="I147" s="40">
        <f>NPV_IRR!K77</f>
        <v>-2529718.3706225529</v>
      </c>
      <c r="J147" s="39">
        <f>NPV_IRR!L77</f>
        <v>6.1722855352440931E-2</v>
      </c>
      <c r="K147" s="38"/>
      <c r="L147" s="38"/>
      <c r="M147" s="38">
        <f>IF(Investment_Master!AA130="Low",1,IF(Investment_Master!AA130="Medium",2,3))</f>
        <v>2</v>
      </c>
      <c r="N147" s="39">
        <f>Investment_Master!S130</f>
        <v>0.11206221261179219</v>
      </c>
    </row>
    <row r="148" spans="1:14" ht="15" customHeight="1" x14ac:dyDescent="0.25">
      <c r="A148" s="40">
        <f>Investment_Master!J78</f>
        <v>16170000</v>
      </c>
      <c r="B148" s="40">
        <f>Investment_Master!Q78</f>
        <v>16439614.046575626</v>
      </c>
      <c r="C148" s="38"/>
      <c r="D148" s="38"/>
      <c r="E148" s="38"/>
      <c r="F148" s="38"/>
      <c r="G148" s="38"/>
      <c r="H148" s="38" t="str">
        <f>Investment_Master!B78</f>
        <v>Brand Repositioning – North</v>
      </c>
      <c r="I148" s="40">
        <f>NPV_IRR!K78</f>
        <v>-4018175.8947905786</v>
      </c>
      <c r="J148" s="39">
        <f>NPV_IRR!L78</f>
        <v>5.5375204538077316E-3</v>
      </c>
      <c r="K148" s="38"/>
      <c r="L148" s="38"/>
      <c r="M148" s="38">
        <f>IF(Investment_Master!AA131="Low",1,IF(Investment_Master!AA131="Medium",2,3))</f>
        <v>1</v>
      </c>
      <c r="N148" s="39">
        <f>Investment_Master!S131</f>
        <v>-1.6771385918470865E-2</v>
      </c>
    </row>
    <row r="149" spans="1:14" ht="15" customHeight="1" x14ac:dyDescent="0.25">
      <c r="A149" s="40">
        <f>Investment_Master!J79</f>
        <v>40210000</v>
      </c>
      <c r="B149" s="40">
        <f>Investment_Master!Q79</f>
        <v>42802383.950360075</v>
      </c>
      <c r="C149" s="38"/>
      <c r="D149" s="38"/>
      <c r="E149" s="38"/>
      <c r="F149" s="38"/>
      <c r="G149" s="38"/>
      <c r="H149" s="38" t="str">
        <f>Investment_Master!B79</f>
        <v>Premium Product Line – East</v>
      </c>
      <c r="I149" s="40">
        <f>NPV_IRR!K79</f>
        <v>-8571359.3619153798</v>
      </c>
      <c r="J149" s="39">
        <f>NPV_IRR!L79</f>
        <v>2.11941008964045E-2</v>
      </c>
      <c r="K149" s="38"/>
      <c r="L149" s="38"/>
      <c r="M149" s="38">
        <f>IF(Investment_Master!AA132="Low",1,IF(Investment_Master!AA132="Medium",2,3))</f>
        <v>3</v>
      </c>
      <c r="N149" s="39">
        <f>Investment_Master!S132</f>
        <v>5.1172710765170909E-2</v>
      </c>
    </row>
    <row r="150" spans="1:14" ht="15" customHeight="1" x14ac:dyDescent="0.25">
      <c r="A150" s="40">
        <f>Investment_Master!J80</f>
        <v>44220000</v>
      </c>
      <c r="B150" s="40">
        <f>Investment_Master!Q80</f>
        <v>47641060.409272872</v>
      </c>
      <c r="C150" s="38"/>
      <c r="D150" s="38"/>
      <c r="E150" s="38"/>
      <c r="F150" s="38"/>
      <c r="G150" s="38"/>
      <c r="H150" s="38" t="str">
        <f>Investment_Master!B80</f>
        <v>Tier-2 City Expansion – Central</v>
      </c>
      <c r="I150" s="40">
        <f>NPV_IRR!K80</f>
        <v>-7158577.8383312672</v>
      </c>
      <c r="J150" s="39">
        <f>NPV_IRR!L80</f>
        <v>2.5364734700997094E-2</v>
      </c>
      <c r="K150" s="38"/>
      <c r="L150" s="38"/>
      <c r="M150" s="38">
        <f>IF(Investment_Master!AA133="Low",1,IF(Investment_Master!AA133="Medium",2,3))</f>
        <v>2</v>
      </c>
      <c r="N150" s="39">
        <f>Investment_Master!S133</f>
        <v>0.24307567856463774</v>
      </c>
    </row>
    <row r="151" spans="1:14" ht="15" customHeight="1" x14ac:dyDescent="0.25">
      <c r="A151" s="40">
        <f>Investment_Master!J81</f>
        <v>41420000</v>
      </c>
      <c r="B151" s="40">
        <f>Investment_Master!Q81</f>
        <v>41865381.537172891</v>
      </c>
      <c r="C151" s="38"/>
      <c r="D151" s="38"/>
      <c r="E151" s="38"/>
      <c r="F151" s="38"/>
      <c r="G151" s="38"/>
      <c r="H151" s="38" t="str">
        <f>Investment_Master!B81</f>
        <v>Automated Packaging Line – South</v>
      </c>
      <c r="I151" s="40">
        <f>NPV_IRR!K81</f>
        <v>-10473972.246801153</v>
      </c>
      <c r="J151" s="39">
        <f>NPV_IRR!L81</f>
        <v>3.5757623824421714E-3</v>
      </c>
      <c r="K151" s="38"/>
      <c r="L151" s="38"/>
      <c r="M151" s="38">
        <f>IF(Investment_Master!AA134="Low",1,IF(Investment_Master!AA134="Medium",2,3))</f>
        <v>1</v>
      </c>
      <c r="N151" s="39">
        <f>Investment_Master!S134</f>
        <v>0.2867557533914199</v>
      </c>
    </row>
    <row r="152" spans="1:14" ht="15" customHeight="1" x14ac:dyDescent="0.25">
      <c r="A152" s="40">
        <f>Investment_Master!J82</f>
        <v>27210000</v>
      </c>
      <c r="B152" s="40">
        <f>Investment_Master!Q82</f>
        <v>33479763.853338271</v>
      </c>
      <c r="C152" s="38"/>
      <c r="D152" s="38"/>
      <c r="E152" s="38"/>
      <c r="F152" s="38"/>
      <c r="G152" s="38"/>
      <c r="H152" s="38" t="str">
        <f>Investment_Master!B82</f>
        <v>RPA Finance Rollout – West</v>
      </c>
      <c r="I152" s="40">
        <f>NPV_IRR!K82</f>
        <v>-2462448.1245677471</v>
      </c>
      <c r="J152" s="39">
        <f>NPV_IRR!L82</f>
        <v>7.3352956459350027E-2</v>
      </c>
      <c r="K152" s="38"/>
      <c r="L152" s="38"/>
      <c r="M152" s="38">
        <f>IF(Investment_Master!AA135="Low",1,IF(Investment_Master!AA135="Medium",2,3))</f>
        <v>3</v>
      </c>
      <c r="N152" s="39">
        <f>Investment_Master!S135</f>
        <v>1.3841037399731011E-2</v>
      </c>
    </row>
    <row r="153" spans="1:14" ht="15" customHeight="1" x14ac:dyDescent="0.25">
      <c r="A153" s="40">
        <f>Investment_Master!J83</f>
        <v>11710000</v>
      </c>
      <c r="B153" s="40">
        <f>Investment_Master!Q83</f>
        <v>11633125.45101051</v>
      </c>
      <c r="C153" s="38"/>
      <c r="D153" s="38"/>
      <c r="E153" s="38"/>
      <c r="F153" s="38"/>
      <c r="G153" s="38"/>
      <c r="H153" s="38" t="str">
        <f>Investment_Master!B83</f>
        <v>Leadership Development – North</v>
      </c>
      <c r="I153" s="40">
        <f>NPV_IRR!K83</f>
        <v>-3111033.267933635</v>
      </c>
      <c r="J153" s="39">
        <f>NPV_IRR!L83</f>
        <v>-2.1914930273437827E-3</v>
      </c>
      <c r="K153" s="38"/>
      <c r="L153" s="38"/>
      <c r="M153" s="38">
        <f>IF(Investment_Master!AA136="Low",1,IF(Investment_Master!AA136="Medium",2,3))</f>
        <v>2</v>
      </c>
      <c r="N153" s="39">
        <f>Investment_Master!S136</f>
        <v>0.16513974069513179</v>
      </c>
    </row>
    <row r="154" spans="1:14" ht="15" customHeight="1" x14ac:dyDescent="0.25">
      <c r="A154" s="40">
        <f>Investment_Master!J84</f>
        <v>51790000</v>
      </c>
      <c r="B154" s="40">
        <f>Investment_Master!Q84</f>
        <v>57141684.736435004</v>
      </c>
      <c r="C154" s="38"/>
      <c r="D154" s="38"/>
      <c r="E154" s="38"/>
      <c r="F154" s="38"/>
      <c r="G154" s="38"/>
      <c r="H154" s="38" t="str">
        <f>Investment_Master!B84</f>
        <v>Plant Utility Upgrade – East</v>
      </c>
      <c r="I154" s="40">
        <f>NPV_IRR!K84</f>
        <v>-10593402.940039672</v>
      </c>
      <c r="J154" s="39">
        <f>NPV_IRR!L84</f>
        <v>3.3700460718595782E-2</v>
      </c>
      <c r="K154" s="38"/>
      <c r="L154" s="38"/>
      <c r="M154" s="38">
        <f>IF(Investment_Master!AA137="Low",1,IF(Investment_Master!AA137="Medium",2,3))</f>
        <v>1</v>
      </c>
      <c r="N154" s="39">
        <f>Investment_Master!S137</f>
        <v>0.18349638643799496</v>
      </c>
    </row>
    <row r="155" spans="1:14" ht="15" customHeight="1" x14ac:dyDescent="0.25">
      <c r="A155" s="40">
        <f>Investment_Master!J85</f>
        <v>20860000</v>
      </c>
      <c r="B155" s="40">
        <f>Investment_Master!Q85</f>
        <v>24903273.451449998</v>
      </c>
      <c r="C155" s="38"/>
      <c r="D155" s="38"/>
      <c r="E155" s="38"/>
      <c r="F155" s="38"/>
      <c r="G155" s="38"/>
      <c r="H155" s="38" t="str">
        <f>Investment_Master!B85</f>
        <v>ERP Cloud Migration – Central</v>
      </c>
      <c r="I155" s="40">
        <f>NPV_IRR!K85</f>
        <v>-1979400.0970565416</v>
      </c>
      <c r="J155" s="39">
        <f>NPV_IRR!L85</f>
        <v>6.211790618387325E-2</v>
      </c>
      <c r="K155" s="38"/>
      <c r="L155" s="38"/>
      <c r="M155" s="38">
        <f>IF(Investment_Master!AA138="Low",1,IF(Investment_Master!AA138="Medium",2,3))</f>
        <v>3</v>
      </c>
      <c r="N155" s="39">
        <f>Investment_Master!S138</f>
        <v>0.18048373729977177</v>
      </c>
    </row>
    <row r="156" spans="1:14" ht="15" customHeight="1" x14ac:dyDescent="0.25">
      <c r="A156" s="40">
        <f>Investment_Master!J86</f>
        <v>17620000</v>
      </c>
      <c r="B156" s="40">
        <f>Investment_Master!Q86</f>
        <v>21384610.498858832</v>
      </c>
      <c r="C156" s="38"/>
      <c r="D156" s="38"/>
      <c r="E156" s="38"/>
      <c r="F156" s="38"/>
      <c r="G156" s="38"/>
      <c r="H156" s="38" t="str">
        <f>Investment_Master!B86</f>
        <v>Brand Repositioning – South</v>
      </c>
      <c r="I156" s="40">
        <f>NPV_IRR!K86</f>
        <v>-1407100.290394593</v>
      </c>
      <c r="J156" s="39">
        <f>NPV_IRR!L86</f>
        <v>6.8222547121640442E-2</v>
      </c>
      <c r="K156" s="38"/>
      <c r="L156" s="38"/>
      <c r="M156" s="38">
        <f>IF(Investment_Master!AA139="Low",1,IF(Investment_Master!AA139="Medium",2,3))</f>
        <v>2</v>
      </c>
      <c r="N156" s="39">
        <f>Investment_Master!S139</f>
        <v>-4.3602787697340335E-2</v>
      </c>
    </row>
    <row r="157" spans="1:14" ht="15" customHeight="1" x14ac:dyDescent="0.25">
      <c r="A157" s="40">
        <f>Investment_Master!J87</f>
        <v>41940000</v>
      </c>
      <c r="B157" s="40">
        <f>Investment_Master!Q87</f>
        <v>44007020.450719386</v>
      </c>
      <c r="C157" s="38"/>
      <c r="D157" s="38"/>
      <c r="E157" s="38"/>
      <c r="F157" s="38"/>
      <c r="G157" s="38"/>
      <c r="H157" s="38" t="str">
        <f>Investment_Master!B87</f>
        <v>Premium Product Line – West</v>
      </c>
      <c r="I157" s="40">
        <f>NPV_IRR!K87</f>
        <v>-10212907.988627363</v>
      </c>
      <c r="J157" s="39">
        <f>NPV_IRR!L87</f>
        <v>1.6253707022439112E-2</v>
      </c>
      <c r="K157" s="38"/>
      <c r="L157" s="38"/>
      <c r="M157" s="38">
        <f>IF(Investment_Master!AA140="Low",1,IF(Investment_Master!AA140="Medium",2,3))</f>
        <v>1</v>
      </c>
      <c r="N157" s="39">
        <f>Investment_Master!S140</f>
        <v>6.401628743897593E-2</v>
      </c>
    </row>
    <row r="158" spans="1:14" ht="15" customHeight="1" x14ac:dyDescent="0.25">
      <c r="A158" s="40">
        <f>Investment_Master!J88</f>
        <v>37500000</v>
      </c>
      <c r="B158" s="40">
        <f>Investment_Master!Q88</f>
        <v>44695039.890150316</v>
      </c>
      <c r="C158" s="38"/>
      <c r="D158" s="38"/>
      <c r="E158" s="38"/>
      <c r="F158" s="38"/>
      <c r="G158" s="38"/>
      <c r="H158" s="38" t="str">
        <f>Investment_Master!B88</f>
        <v>Tier-2 City Expansion – North</v>
      </c>
      <c r="I158" s="40">
        <f>NPV_IRR!K88</f>
        <v>-2730376.3251442984</v>
      </c>
      <c r="J158" s="39">
        <f>NPV_IRR!L88</f>
        <v>6.1511756968570364E-2</v>
      </c>
      <c r="K158" s="38"/>
      <c r="L158" s="38"/>
      <c r="M158" s="38">
        <f>IF(Investment_Master!AA141="Low",1,IF(Investment_Master!AA141="Medium",2,3))</f>
        <v>3</v>
      </c>
      <c r="N158" s="39">
        <f>Investment_Master!S141</f>
        <v>0.29627862380912234</v>
      </c>
    </row>
    <row r="159" spans="1:14" ht="15" customHeight="1" x14ac:dyDescent="0.25">
      <c r="A159" s="40">
        <f>Investment_Master!J89</f>
        <v>41180000</v>
      </c>
      <c r="B159" s="40">
        <f>Investment_Master!Q89</f>
        <v>48856217.133899949</v>
      </c>
      <c r="C159" s="38"/>
      <c r="D159" s="38"/>
      <c r="E159" s="38"/>
      <c r="F159" s="38"/>
      <c r="G159" s="38"/>
      <c r="H159" s="38" t="str">
        <f>Investment_Master!B89</f>
        <v>Automated Packaging Line – East</v>
      </c>
      <c r="I159" s="40">
        <f>NPV_IRR!K89</f>
        <v>-5066490.5602369085</v>
      </c>
      <c r="J159" s="39">
        <f>NPV_IRR!L89</f>
        <v>5.9821738029205207E-2</v>
      </c>
      <c r="K159" s="38"/>
      <c r="L159" s="38"/>
      <c r="M159" s="38">
        <f>IF(Investment_Master!AA142="Low",1,IF(Investment_Master!AA142="Medium",2,3))</f>
        <v>2</v>
      </c>
      <c r="N159" s="39">
        <f>Investment_Master!S142</f>
        <v>0.15806466059208721</v>
      </c>
    </row>
    <row r="160" spans="1:14" ht="15" customHeight="1" x14ac:dyDescent="0.25">
      <c r="A160" s="40">
        <f>Investment_Master!J90</f>
        <v>29800000</v>
      </c>
      <c r="B160" s="40">
        <f>Investment_Master!Q90</f>
        <v>36296937.739267156</v>
      </c>
      <c r="C160" s="38"/>
      <c r="D160" s="38"/>
      <c r="E160" s="38"/>
      <c r="F160" s="38"/>
      <c r="G160" s="38"/>
      <c r="H160" s="38" t="str">
        <f>Investment_Master!B90</f>
        <v>RPA Finance Rollout – Central</v>
      </c>
      <c r="I160" s="40">
        <f>NPV_IRR!K90</f>
        <v>-2970051.2119268477</v>
      </c>
      <c r="J160" s="39">
        <f>NPV_IRR!L90</f>
        <v>6.9560268917493229E-2</v>
      </c>
      <c r="K160" s="38"/>
      <c r="L160" s="38"/>
      <c r="M160" s="38">
        <f>IF(Investment_Master!AA143="Low",1,IF(Investment_Master!AA143="Medium",2,3))</f>
        <v>1</v>
      </c>
      <c r="N160" s="39">
        <f>Investment_Master!S143</f>
        <v>6.8214394237036596E-2</v>
      </c>
    </row>
    <row r="161" spans="1:14" ht="15" customHeight="1" x14ac:dyDescent="0.25">
      <c r="A161" s="40">
        <f>Investment_Master!J91</f>
        <v>8450000</v>
      </c>
      <c r="B161" s="40">
        <f>Investment_Master!Q91</f>
        <v>8353668.2939621005</v>
      </c>
      <c r="C161" s="38"/>
      <c r="D161" s="38"/>
      <c r="E161" s="38"/>
      <c r="F161" s="38"/>
      <c r="G161" s="38"/>
      <c r="H161" s="38" t="str">
        <f>Investment_Master!B91</f>
        <v>Leadership Development – South</v>
      </c>
      <c r="I161" s="40">
        <f>NPV_IRR!K91</f>
        <v>-2116604.9510443266</v>
      </c>
      <c r="J161" s="39">
        <f>NPV_IRR!L91</f>
        <v>-3.8097619075857514E-3</v>
      </c>
      <c r="K161" s="38"/>
      <c r="L161" s="38"/>
      <c r="M161" s="38">
        <f>IF(Investment_Master!AA144="Low",1,IF(Investment_Master!AA144="Medium",2,3))</f>
        <v>3</v>
      </c>
      <c r="N161" s="39">
        <f>Investment_Master!S144</f>
        <v>4.3882130248093044E-2</v>
      </c>
    </row>
    <row r="162" spans="1:14" ht="15" customHeight="1" x14ac:dyDescent="0.25">
      <c r="A162" s="40">
        <f>Investment_Master!J92</f>
        <v>53360000</v>
      </c>
      <c r="B162" s="40">
        <f>Investment_Master!Q92</f>
        <v>67735454.745417267</v>
      </c>
      <c r="C162" s="38"/>
      <c r="D162" s="38"/>
      <c r="E162" s="38"/>
      <c r="F162" s="38"/>
      <c r="G162" s="38"/>
      <c r="H162" s="38" t="str">
        <f>Investment_Master!B92</f>
        <v>Plant Utility Upgrade – West</v>
      </c>
      <c r="I162" s="40">
        <f>NPV_IRR!K92</f>
        <v>-3291346.9634564146</v>
      </c>
      <c r="J162" s="39">
        <f>NPV_IRR!L92</f>
        <v>8.5173676155638978E-2</v>
      </c>
      <c r="K162" s="38"/>
      <c r="L162" s="38"/>
      <c r="M162" s="38">
        <f>IF(Investment_Master!AA145="Low",1,IF(Investment_Master!AA145="Medium",2,3))</f>
        <v>2</v>
      </c>
      <c r="N162" s="39">
        <f>Investment_Master!S145</f>
        <v>4.3831115375555715E-2</v>
      </c>
    </row>
    <row r="163" spans="1:14" ht="15" customHeight="1" x14ac:dyDescent="0.25">
      <c r="A163" s="40">
        <f>Investment_Master!J93</f>
        <v>25620000</v>
      </c>
      <c r="B163" s="40">
        <f>Investment_Master!Q93</f>
        <v>29819544.006643791</v>
      </c>
      <c r="C163" s="38"/>
      <c r="D163" s="38"/>
      <c r="E163" s="38"/>
      <c r="F163" s="38"/>
      <c r="G163" s="38"/>
      <c r="H163" s="38" t="str">
        <f>Investment_Master!B93</f>
        <v>ERP Cloud Migration – North</v>
      </c>
      <c r="I163" s="40">
        <f>NPV_IRR!K93</f>
        <v>-4121443.4800141715</v>
      </c>
      <c r="J163" s="39">
        <f>NPV_IRR!L93</f>
        <v>5.2827908376814836E-2</v>
      </c>
      <c r="K163" s="38"/>
      <c r="L163" s="38"/>
      <c r="M163" s="38">
        <f>IF(Investment_Master!AA146="Low",1,IF(Investment_Master!AA146="Medium",2,3))</f>
        <v>1</v>
      </c>
      <c r="N163" s="39">
        <f>Investment_Master!S146</f>
        <v>0.14063473962505846</v>
      </c>
    </row>
    <row r="164" spans="1:14" ht="15" customHeight="1" x14ac:dyDescent="0.25">
      <c r="A164" s="40">
        <f>Investment_Master!J94</f>
        <v>21130000</v>
      </c>
      <c r="B164" s="40">
        <f>Investment_Master!Q94</f>
        <v>26801313.783613101</v>
      </c>
      <c r="C164" s="38"/>
      <c r="D164" s="38"/>
      <c r="E164" s="38"/>
      <c r="F164" s="38"/>
      <c r="G164" s="38"/>
      <c r="H164" s="38" t="str">
        <f>Investment_Master!B94</f>
        <v>Brand Repositioning – East</v>
      </c>
      <c r="I164" s="40">
        <f>NPV_IRR!K94</f>
        <v>-810386.86126304418</v>
      </c>
      <c r="J164" s="39">
        <f>NPV_IRR!L94</f>
        <v>8.4871080803067933E-2</v>
      </c>
      <c r="K164" s="38"/>
      <c r="L164" s="38"/>
      <c r="M164" s="38">
        <f>IF(Investment_Master!AA147="Low",1,IF(Investment_Master!AA147="Medium",2,3))</f>
        <v>3</v>
      </c>
      <c r="N164" s="39">
        <f>Investment_Master!S147</f>
        <v>8.974614720505392E-3</v>
      </c>
    </row>
    <row r="165" spans="1:14" ht="15" customHeight="1" x14ac:dyDescent="0.25">
      <c r="A165" s="40">
        <f>Investment_Master!J95</f>
        <v>17340000</v>
      </c>
      <c r="B165" s="40">
        <f>Investment_Master!Q95</f>
        <v>18671984.304194242</v>
      </c>
      <c r="C165" s="38"/>
      <c r="D165" s="38"/>
      <c r="E165" s="38"/>
      <c r="F165" s="38"/>
      <c r="G165" s="38"/>
      <c r="H165" s="38" t="str">
        <f>Investment_Master!B95</f>
        <v>Premium Product Line – Central</v>
      </c>
      <c r="I165" s="40">
        <f>NPV_IRR!K95</f>
        <v>-3183697.7882116549</v>
      </c>
      <c r="J165" s="39">
        <f>NPV_IRR!L95</f>
        <v>2.5187640455722304E-2</v>
      </c>
      <c r="K165" s="38"/>
      <c r="L165" s="38"/>
      <c r="M165" s="38">
        <f>IF(Investment_Master!AA148="Low",1,IF(Investment_Master!AA148="Medium",2,3))</f>
        <v>2</v>
      </c>
      <c r="N165" s="39">
        <f>Investment_Master!S148</f>
        <v>4.074152496521888E-3</v>
      </c>
    </row>
    <row r="166" spans="1:14" ht="15" customHeight="1" x14ac:dyDescent="0.25">
      <c r="A166" s="40">
        <f>Investment_Master!J96</f>
        <v>57300000</v>
      </c>
      <c r="B166" s="40">
        <f>Investment_Master!Q96</f>
        <v>61911992.583595335</v>
      </c>
      <c r="C166" s="38"/>
      <c r="D166" s="38"/>
      <c r="E166" s="38"/>
      <c r="F166" s="38"/>
      <c r="G166" s="38"/>
      <c r="H166" s="38" t="str">
        <f>Investment_Master!B96</f>
        <v>Tier-2 City Expansion – South</v>
      </c>
      <c r="I166" s="40">
        <f>NPV_IRR!K96</f>
        <v>-9136787.9661192596</v>
      </c>
      <c r="J166" s="39">
        <f>NPV_IRR!L96</f>
        <v>2.6371996775724105E-2</v>
      </c>
      <c r="K166" s="38"/>
      <c r="L166" s="38"/>
      <c r="M166" s="38">
        <f>IF(Investment_Master!AA149="Low",1,IF(Investment_Master!AA149="Medium",2,3))</f>
        <v>1</v>
      </c>
      <c r="N166" s="39">
        <f>Investment_Master!S149</f>
        <v>0.16502203160791939</v>
      </c>
    </row>
    <row r="167" spans="1:14" ht="15" customHeight="1" x14ac:dyDescent="0.25">
      <c r="A167" s="40">
        <f>Investment_Master!J97</f>
        <v>29260000</v>
      </c>
      <c r="B167" s="40">
        <f>Investment_Master!Q97</f>
        <v>32245742.243324451</v>
      </c>
      <c r="C167" s="38"/>
      <c r="D167" s="38"/>
      <c r="E167" s="38"/>
      <c r="F167" s="38"/>
      <c r="G167" s="38"/>
      <c r="H167" s="38" t="str">
        <f>Investment_Master!B97</f>
        <v>Automated Packaging Line – West</v>
      </c>
      <c r="I167" s="40">
        <f>NPV_IRR!K97</f>
        <v>-5424611.4822007604</v>
      </c>
      <c r="J167" s="39">
        <f>NPV_IRR!L97</f>
        <v>3.3287581363067087E-2</v>
      </c>
      <c r="K167" s="38"/>
      <c r="L167" s="38"/>
      <c r="M167" s="38">
        <f>IF(Investment_Master!AA150="Low",1,IF(Investment_Master!AA150="Medium",2,3))</f>
        <v>3</v>
      </c>
      <c r="N167" s="39">
        <f>Investment_Master!S150</f>
        <v>0.12373786579943076</v>
      </c>
    </row>
    <row r="168" spans="1:14" ht="15" customHeight="1" x14ac:dyDescent="0.25">
      <c r="A168" s="40">
        <f>Investment_Master!J98</f>
        <v>20030000</v>
      </c>
      <c r="B168" s="40">
        <f>Investment_Master!Q98</f>
        <v>28958517.614787672</v>
      </c>
      <c r="C168" s="38"/>
      <c r="D168" s="38"/>
      <c r="E168" s="38"/>
      <c r="F168" s="38"/>
      <c r="G168" s="38"/>
      <c r="H168" s="38" t="str">
        <f>Investment_Master!B98</f>
        <v>RPA Finance Rollout – North</v>
      </c>
      <c r="I168" s="40">
        <f>NPV_IRR!K98</f>
        <v>1925113.0871637166</v>
      </c>
      <c r="J168" s="39">
        <f>NPV_IRR!L98</f>
        <v>0.13695025867595523</v>
      </c>
      <c r="K168" s="38"/>
      <c r="L168" s="38"/>
      <c r="M168" s="38">
        <f>IF(Investment_Master!AA151="Low",1,IF(Investment_Master!AA151="Medium",2,3))</f>
        <v>2</v>
      </c>
      <c r="N168" s="39">
        <f>Investment_Master!S151</f>
        <v>1.2848234911383842E-2</v>
      </c>
    </row>
    <row r="169" spans="1:14" ht="15" customHeight="1" x14ac:dyDescent="0.25">
      <c r="A169" s="40">
        <f>Investment_Master!J99</f>
        <v>3890000</v>
      </c>
      <c r="B169" s="40">
        <f>Investment_Master!Q99</f>
        <v>3711136.9429942267</v>
      </c>
      <c r="C169" s="38"/>
      <c r="D169" s="38"/>
      <c r="E169" s="38"/>
      <c r="F169" s="38"/>
      <c r="G169" s="38"/>
      <c r="H169" s="38" t="str">
        <f>Investment_Master!B99</f>
        <v>Leadership Development – East</v>
      </c>
      <c r="I169" s="40">
        <f>NPV_IRR!K99</f>
        <v>-1214436.3728502044</v>
      </c>
      <c r="J169" s="39">
        <f>NPV_IRR!L99</f>
        <v>-1.5487890921792924E-2</v>
      </c>
      <c r="K169" s="38"/>
      <c r="L169" s="38"/>
      <c r="M169" s="38">
        <f>IF(Investment_Master!AA152="Low",1,IF(Investment_Master!AA152="Medium",2,3))</f>
        <v>1</v>
      </c>
      <c r="N169" s="39">
        <f>Investment_Master!S152</f>
        <v>0.17813972329163857</v>
      </c>
    </row>
    <row r="170" spans="1:14" ht="15" customHeight="1" x14ac:dyDescent="0.25">
      <c r="A170" s="40">
        <f>Investment_Master!J100</f>
        <v>38670000</v>
      </c>
      <c r="B170" s="40">
        <f>Investment_Master!Q100</f>
        <v>40785774.472246721</v>
      </c>
      <c r="C170" s="38"/>
      <c r="D170" s="38"/>
      <c r="E170" s="38"/>
      <c r="F170" s="38"/>
      <c r="G170" s="38"/>
      <c r="H170" s="38" t="str">
        <f>Investment_Master!B100</f>
        <v>Plant Utility Upgrade – Central</v>
      </c>
      <c r="I170" s="40">
        <f>NPV_IRR!K100</f>
        <v>-8521995.5530999415</v>
      </c>
      <c r="J170" s="39">
        <f>NPV_IRR!L100</f>
        <v>1.8023262301116061E-2</v>
      </c>
      <c r="K170" s="38"/>
      <c r="L170" s="38"/>
      <c r="M170" s="38">
        <f>IF(Investment_Master!AA153="Low",1,IF(Investment_Master!AA153="Medium",2,3))</f>
        <v>3</v>
      </c>
      <c r="N170" s="39">
        <f>Investment_Master!S153</f>
        <v>0.15537627275190613</v>
      </c>
    </row>
    <row r="171" spans="1:14" ht="15" customHeight="1" x14ac:dyDescent="0.25">
      <c r="A171" s="40">
        <f>Investment_Master!J101</f>
        <v>34010000</v>
      </c>
      <c r="B171" s="40">
        <f>Investment_Master!Q101</f>
        <v>43715567.859758303</v>
      </c>
      <c r="C171" s="38"/>
      <c r="D171" s="38"/>
      <c r="E171" s="38"/>
      <c r="F171" s="38"/>
      <c r="G171" s="38"/>
      <c r="H171" s="38" t="str">
        <f>Investment_Master!B101</f>
        <v>ERP Cloud Migration – South</v>
      </c>
      <c r="I171" s="40">
        <f>NPV_IRR!K101</f>
        <v>-1696352.6244532987</v>
      </c>
      <c r="J171" s="39">
        <f>NPV_IRR!L101</f>
        <v>8.9973513705079E-2</v>
      </c>
      <c r="K171" s="38"/>
      <c r="L171" s="38"/>
      <c r="M171" s="38">
        <f>IF(Investment_Master!AA154="Low",1,IF(Investment_Master!AA154="Medium",2,3))</f>
        <v>2</v>
      </c>
      <c r="N171" s="39">
        <f>Investment_Master!S154</f>
        <v>0.19106333980505472</v>
      </c>
    </row>
    <row r="172" spans="1:14" ht="15" customHeight="1" x14ac:dyDescent="0.25">
      <c r="A172" s="40">
        <f>Investment_Master!J102</f>
        <v>14140000</v>
      </c>
      <c r="B172" s="40">
        <f>Investment_Master!Q102</f>
        <v>15920934.99220914</v>
      </c>
      <c r="C172" s="38"/>
      <c r="D172" s="38"/>
      <c r="E172" s="38"/>
      <c r="F172" s="38"/>
      <c r="G172" s="38"/>
      <c r="H172" s="38" t="str">
        <f>Investment_Master!B102</f>
        <v>Brand Repositioning – West</v>
      </c>
      <c r="I172" s="40">
        <f>NPV_IRR!K102</f>
        <v>-2371572.768820649</v>
      </c>
      <c r="J172" s="39">
        <f>NPV_IRR!L102</f>
        <v>4.0891581417851874E-2</v>
      </c>
      <c r="K172" s="38"/>
      <c r="L172" s="38"/>
      <c r="M172" s="38"/>
      <c r="N172" s="38"/>
    </row>
    <row r="173" spans="1:14" ht="15" customHeight="1" x14ac:dyDescent="0.25">
      <c r="A173" s="40">
        <f>Investment_Master!J103</f>
        <v>15200000</v>
      </c>
      <c r="B173" s="40">
        <f>Investment_Master!Q103</f>
        <v>16086659.794900231</v>
      </c>
      <c r="C173" s="38"/>
      <c r="D173" s="38"/>
      <c r="E173" s="38"/>
      <c r="F173" s="38"/>
      <c r="G173" s="38"/>
      <c r="H173" s="38" t="str">
        <f>Investment_Master!B103</f>
        <v>Premium Product Line – North</v>
      </c>
      <c r="I173" s="40">
        <f>NPV_IRR!K103</f>
        <v>-3309072.4080173392</v>
      </c>
      <c r="J173" s="39">
        <f>NPV_IRR!L103</f>
        <v>1.9200879234462009E-2</v>
      </c>
      <c r="K173" s="38"/>
      <c r="L173" s="38"/>
      <c r="M173" s="38"/>
      <c r="N173" s="38"/>
    </row>
    <row r="174" spans="1:14" ht="15" customHeight="1" x14ac:dyDescent="0.25">
      <c r="A174" s="40">
        <f>Investment_Master!J104</f>
        <v>20910000</v>
      </c>
      <c r="B174" s="40">
        <f>Investment_Master!Q104</f>
        <v>20546715.881032772</v>
      </c>
      <c r="C174" s="38"/>
      <c r="D174" s="38"/>
      <c r="E174" s="38"/>
      <c r="F174" s="38"/>
      <c r="G174" s="38"/>
      <c r="H174" s="38" t="str">
        <f>Investment_Master!B104</f>
        <v>Tier-2 City Expansion – East</v>
      </c>
      <c r="I174" s="40">
        <f>NPV_IRR!K104</f>
        <v>-4926088.1231224202</v>
      </c>
      <c r="J174" s="39">
        <f>NPV_IRR!L104</f>
        <v>-5.8138333598382053E-3</v>
      </c>
      <c r="K174" s="38"/>
      <c r="L174" s="38"/>
      <c r="M174" s="38"/>
      <c r="N174" s="38"/>
    </row>
    <row r="175" spans="1:14" ht="15" customHeight="1" x14ac:dyDescent="0.25">
      <c r="A175" s="40">
        <f>Investment_Master!J105</f>
        <v>14740000</v>
      </c>
      <c r="B175" s="40">
        <f>Investment_Master!Q105</f>
        <v>18214251.740842998</v>
      </c>
      <c r="C175" s="38"/>
      <c r="D175" s="38"/>
      <c r="E175" s="38"/>
      <c r="F175" s="38"/>
      <c r="G175" s="38"/>
      <c r="H175" s="38" t="str">
        <f>Investment_Master!B105</f>
        <v>Automated Packaging Line – Central</v>
      </c>
      <c r="I175" s="40">
        <f>NPV_IRR!K105</f>
        <v>-1276400.2624603603</v>
      </c>
      <c r="J175" s="39">
        <f>NPV_IRR!L105</f>
        <v>7.4963050327515157E-2</v>
      </c>
      <c r="K175" s="38"/>
      <c r="L175" s="38"/>
      <c r="M175" s="38"/>
      <c r="N175" s="38"/>
    </row>
    <row r="176" spans="1:14" ht="15" customHeight="1" x14ac:dyDescent="0.25">
      <c r="A176" s="40">
        <f>Investment_Master!J106</f>
        <v>7830000</v>
      </c>
      <c r="B176" s="40">
        <f>Investment_Master!Q106</f>
        <v>10273456.295648959</v>
      </c>
      <c r="C176" s="38"/>
      <c r="D176" s="38"/>
      <c r="E176" s="38"/>
      <c r="F176" s="38"/>
      <c r="G176" s="38"/>
      <c r="H176" s="38" t="str">
        <f>Investment_Master!B106</f>
        <v>RPA Finance Rollout – South</v>
      </c>
      <c r="I176" s="40">
        <f>NPV_IRR!K106</f>
        <v>-236072.70319177955</v>
      </c>
      <c r="J176" s="39">
        <f>NPV_IRR!L106</f>
        <v>9.7942997751364613E-2</v>
      </c>
      <c r="K176" s="38"/>
      <c r="L176" s="38"/>
      <c r="M176" s="38"/>
      <c r="N176" s="38"/>
    </row>
    <row r="177" spans="1:14" ht="15" customHeight="1" x14ac:dyDescent="0.25">
      <c r="A177" s="40">
        <f>Investment_Master!J107</f>
        <v>3010000</v>
      </c>
      <c r="B177" s="40">
        <f>Investment_Master!Q107</f>
        <v>3173575.6327161309</v>
      </c>
      <c r="C177" s="38"/>
      <c r="D177" s="38"/>
      <c r="E177" s="38"/>
      <c r="F177" s="38"/>
      <c r="G177" s="38"/>
      <c r="H177" s="38" t="str">
        <f>Investment_Master!B107</f>
        <v>Leadership Development – West</v>
      </c>
      <c r="I177" s="40">
        <f>NPV_IRR!K107</f>
        <v>-603930.29595653014</v>
      </c>
      <c r="J177" s="39">
        <f>NPV_IRR!L107</f>
        <v>1.7902930478846502E-2</v>
      </c>
      <c r="K177" s="38"/>
      <c r="L177" s="38"/>
      <c r="M177" s="38"/>
      <c r="N177" s="38"/>
    </row>
    <row r="178" spans="1:14" ht="15" customHeight="1" x14ac:dyDescent="0.25">
      <c r="A178" s="40">
        <f>Investment_Master!J108</f>
        <v>42930000</v>
      </c>
      <c r="B178" s="40">
        <f>Investment_Master!Q108</f>
        <v>48443628.041068181</v>
      </c>
      <c r="C178" s="38"/>
      <c r="D178" s="38"/>
      <c r="E178" s="38"/>
      <c r="F178" s="38"/>
      <c r="G178" s="38"/>
      <c r="H178" s="38" t="str">
        <f>Investment_Master!B108</f>
        <v>Plant Utility Upgrade – North</v>
      </c>
      <c r="I178" s="40">
        <f>NPV_IRR!K108</f>
        <v>-7121467.9197792262</v>
      </c>
      <c r="J178" s="39">
        <f>NPV_IRR!L108</f>
        <v>4.1677296693717558E-2</v>
      </c>
      <c r="K178" s="38"/>
      <c r="L178" s="38"/>
      <c r="M178" s="38"/>
      <c r="N178" s="38"/>
    </row>
    <row r="179" spans="1:14" ht="15" customHeight="1" x14ac:dyDescent="0.25">
      <c r="A179" s="40">
        <f>Investment_Master!J109</f>
        <v>34630000</v>
      </c>
      <c r="B179" s="40">
        <f>Investment_Master!Q109</f>
        <v>40016935.452462576</v>
      </c>
      <c r="C179" s="38"/>
      <c r="D179" s="38"/>
      <c r="E179" s="38"/>
      <c r="F179" s="38"/>
      <c r="G179" s="38"/>
      <c r="H179" s="38" t="str">
        <f>Investment_Master!B109</f>
        <v>ERP Cloud Migration – East</v>
      </c>
      <c r="I179" s="40">
        <f>NPV_IRR!K109</f>
        <v>-5050305.5211544856</v>
      </c>
      <c r="J179" s="39">
        <f>NPV_IRR!L109</f>
        <v>5.0213889198849948E-2</v>
      </c>
      <c r="K179" s="38"/>
      <c r="L179" s="38"/>
      <c r="M179" s="38"/>
      <c r="N179" s="38"/>
    </row>
    <row r="180" spans="1:14" ht="15" customHeight="1" x14ac:dyDescent="0.25">
      <c r="A180" s="40">
        <f>Investment_Master!J110</f>
        <v>8700000</v>
      </c>
      <c r="B180" s="40">
        <f>Investment_Master!Q110</f>
        <v>9925663.426394023</v>
      </c>
      <c r="C180" s="38"/>
      <c r="D180" s="38"/>
      <c r="E180" s="38"/>
      <c r="F180" s="38"/>
      <c r="G180" s="38"/>
      <c r="H180" s="38" t="str">
        <f>Investment_Master!B110</f>
        <v>Brand Repositioning – Central</v>
      </c>
      <c r="I180" s="40">
        <f>NPV_IRR!K110</f>
        <v>-1174785.2811248451</v>
      </c>
      <c r="J180" s="39">
        <f>NPV_IRR!L110</f>
        <v>4.5605561775867054E-2</v>
      </c>
      <c r="K180" s="38"/>
      <c r="L180" s="38"/>
      <c r="M180" s="38"/>
      <c r="N180" s="38"/>
    </row>
    <row r="181" spans="1:14" ht="15" customHeight="1" x14ac:dyDescent="0.25">
      <c r="A181" s="40">
        <f>Investment_Master!J111</f>
        <v>24380000</v>
      </c>
      <c r="B181" s="40">
        <f>Investment_Master!Q111</f>
        <v>24962535.05981442</v>
      </c>
      <c r="C181" s="38"/>
      <c r="D181" s="38"/>
      <c r="E181" s="38"/>
      <c r="F181" s="38"/>
      <c r="G181" s="38"/>
      <c r="H181" s="38" t="str">
        <f>Investment_Master!B111</f>
        <v>Premium Product Line – South</v>
      </c>
      <c r="I181" s="40">
        <f>NPV_IRR!K111</f>
        <v>-6383129.5332356319</v>
      </c>
      <c r="J181" s="39">
        <f>NPV_IRR!L111</f>
        <v>7.9229746608031615E-3</v>
      </c>
      <c r="K181" s="38"/>
      <c r="L181" s="38"/>
      <c r="M181" s="38"/>
      <c r="N181" s="38"/>
    </row>
    <row r="182" spans="1:14" ht="15" customHeight="1" x14ac:dyDescent="0.25">
      <c r="A182" s="40">
        <f>Investment_Master!J112</f>
        <v>63450000</v>
      </c>
      <c r="B182" s="40">
        <f>Investment_Master!Q112</f>
        <v>71607272.236244604</v>
      </c>
      <c r="C182" s="38"/>
      <c r="D182" s="38"/>
      <c r="E182" s="38"/>
      <c r="F182" s="38"/>
      <c r="G182" s="38"/>
      <c r="H182" s="38" t="str">
        <f>Investment_Master!B112</f>
        <v>Tier-2 City Expansion – West</v>
      </c>
      <c r="I182" s="40">
        <f>NPV_IRR!K112</f>
        <v>-7744536.6162241772</v>
      </c>
      <c r="J182" s="39">
        <f>NPV_IRR!L112</f>
        <v>4.1718171005721505E-2</v>
      </c>
      <c r="K182" s="38"/>
      <c r="L182" s="38"/>
      <c r="M182" s="38"/>
      <c r="N182" s="38"/>
    </row>
    <row r="183" spans="1:14" ht="15" customHeight="1" x14ac:dyDescent="0.25">
      <c r="A183" s="40">
        <f>Investment_Master!J113</f>
        <v>31090000</v>
      </c>
      <c r="B183" s="40">
        <f>Investment_Master!Q113</f>
        <v>35394251.732806638</v>
      </c>
      <c r="C183" s="38"/>
      <c r="D183" s="38"/>
      <c r="E183" s="38"/>
      <c r="F183" s="38"/>
      <c r="G183" s="38"/>
      <c r="H183" s="38" t="str">
        <f>Investment_Master!B113</f>
        <v>Automated Packaging Line – North</v>
      </c>
      <c r="I183" s="40">
        <f>NPV_IRR!K113</f>
        <v>-4927298.1157571115</v>
      </c>
      <c r="J183" s="39">
        <f>NPV_IRR!L113</f>
        <v>4.4838256350330896E-2</v>
      </c>
      <c r="K183" s="38"/>
      <c r="L183" s="38"/>
      <c r="M183" s="38"/>
      <c r="N183" s="38"/>
    </row>
    <row r="184" spans="1:14" ht="15" customHeight="1" x14ac:dyDescent="0.25">
      <c r="A184" s="40">
        <f>Investment_Master!J114</f>
        <v>28940000</v>
      </c>
      <c r="B184" s="40">
        <f>Investment_Master!Q114</f>
        <v>36273106.602895416</v>
      </c>
      <c r="C184" s="38"/>
      <c r="D184" s="38"/>
      <c r="E184" s="38"/>
      <c r="F184" s="38"/>
      <c r="G184" s="38"/>
      <c r="H184" s="38" t="str">
        <f>Investment_Master!B114</f>
        <v>RPA Finance Rollout – East</v>
      </c>
      <c r="I184" s="40">
        <f>NPV_IRR!K114</f>
        <v>-2127666.6970955469</v>
      </c>
      <c r="J184" s="39">
        <f>NPV_IRR!L114</f>
        <v>8.0335559856817174E-2</v>
      </c>
      <c r="K184" s="38"/>
      <c r="L184" s="38"/>
      <c r="M184" s="38"/>
      <c r="N184" s="38"/>
    </row>
    <row r="185" spans="1:14" ht="15" customHeight="1" x14ac:dyDescent="0.25">
      <c r="A185" s="40">
        <f>Investment_Master!J115</f>
        <v>5810000</v>
      </c>
      <c r="B185" s="40">
        <f>Investment_Master!Q115</f>
        <v>5222815.8577121757</v>
      </c>
      <c r="C185" s="38"/>
      <c r="D185" s="38"/>
      <c r="E185" s="38"/>
      <c r="F185" s="38"/>
      <c r="G185" s="38"/>
      <c r="H185" s="38" t="str">
        <f>Investment_Master!B115</f>
        <v>Leadership Development – Central</v>
      </c>
      <c r="I185" s="40">
        <f>NPV_IRR!K115</f>
        <v>-1949402.0895498479</v>
      </c>
      <c r="J185" s="39">
        <f>NPV_IRR!L115</f>
        <v>-3.4494975102094094E-2</v>
      </c>
      <c r="K185" s="38"/>
      <c r="L185" s="38"/>
      <c r="M185" s="38"/>
      <c r="N185" s="38"/>
    </row>
    <row r="186" spans="1:14" ht="15" customHeight="1" x14ac:dyDescent="0.25">
      <c r="A186" s="40">
        <f>Investment_Master!J116</f>
        <v>56870000</v>
      </c>
      <c r="B186" s="40">
        <f>Investment_Master!Q116</f>
        <v>59926517.984193504</v>
      </c>
      <c r="C186" s="38"/>
      <c r="D186" s="38"/>
      <c r="E186" s="38"/>
      <c r="F186" s="38"/>
      <c r="G186" s="38"/>
      <c r="H186" s="38" t="str">
        <f>Investment_Master!B116</f>
        <v>Plant Utility Upgrade – South</v>
      </c>
      <c r="I186" s="40">
        <f>NPV_IRR!K116</f>
        <v>-12573552.180820443</v>
      </c>
      <c r="J186" s="39">
        <f>NPV_IRR!L116</f>
        <v>1.7708040705578298E-2</v>
      </c>
      <c r="K186" s="38"/>
      <c r="L186" s="38"/>
      <c r="M186" s="38"/>
      <c r="N186" s="38"/>
    </row>
    <row r="187" spans="1:14" ht="15" customHeight="1" x14ac:dyDescent="0.25">
      <c r="A187" s="40">
        <f>Investment_Master!J117</f>
        <v>8580000</v>
      </c>
      <c r="B187" s="40">
        <f>Investment_Master!Q117</f>
        <v>10775543.8719822</v>
      </c>
      <c r="C187" s="38"/>
      <c r="D187" s="38"/>
      <c r="E187" s="38"/>
      <c r="F187" s="38"/>
      <c r="G187" s="38"/>
      <c r="H187" s="38" t="str">
        <f>Investment_Master!B117</f>
        <v>ERP Cloud Migration – West</v>
      </c>
      <c r="I187" s="40">
        <f>NPV_IRR!K117</f>
        <v>-811315.17659080401</v>
      </c>
      <c r="J187" s="39">
        <f>NPV_IRR!L117</f>
        <v>8.1092707006335862E-2</v>
      </c>
      <c r="K187" s="38"/>
      <c r="L187" s="38"/>
      <c r="M187" s="38"/>
      <c r="N187" s="38"/>
    </row>
    <row r="188" spans="1:14" ht="15" customHeight="1" x14ac:dyDescent="0.25">
      <c r="A188" s="40">
        <f>Investment_Master!J118</f>
        <v>10810000</v>
      </c>
      <c r="B188" s="40">
        <f>Investment_Master!Q118</f>
        <v>13443296.171245331</v>
      </c>
      <c r="C188" s="38"/>
      <c r="D188" s="38"/>
      <c r="E188" s="38"/>
      <c r="F188" s="38"/>
      <c r="G188" s="38"/>
      <c r="H188" s="38" t="str">
        <f>Investment_Master!B118</f>
        <v>Brand Repositioning – North</v>
      </c>
      <c r="I188" s="40">
        <f>NPV_IRR!K118</f>
        <v>-872992.35466318391</v>
      </c>
      <c r="J188" s="39">
        <f>NPV_IRR!L118</f>
        <v>7.7365185669763248E-2</v>
      </c>
      <c r="K188" s="38"/>
      <c r="L188" s="38"/>
      <c r="M188" s="38"/>
      <c r="N188" s="38"/>
    </row>
    <row r="189" spans="1:14" ht="15" customHeight="1" x14ac:dyDescent="0.25">
      <c r="A189" s="40">
        <f>Investment_Master!J119</f>
        <v>33160000</v>
      </c>
      <c r="B189" s="40">
        <f>Investment_Master!Q119</f>
        <v>38211589.186461739</v>
      </c>
      <c r="C189" s="38"/>
      <c r="D189" s="38"/>
      <c r="E189" s="38"/>
      <c r="F189" s="38"/>
      <c r="G189" s="38"/>
      <c r="H189" s="38" t="str">
        <f>Investment_Master!B119</f>
        <v>Premium Product Line – East</v>
      </c>
      <c r="I189" s="40">
        <f>NPV_IRR!K119</f>
        <v>-4189602.6547779925</v>
      </c>
      <c r="J189" s="39">
        <f>NPV_IRR!L119</f>
        <v>4.9205834196559994E-2</v>
      </c>
      <c r="K189" s="38"/>
      <c r="L189" s="38"/>
      <c r="M189" s="38"/>
      <c r="N189" s="38"/>
    </row>
    <row r="190" spans="1:14" ht="15" customHeight="1" x14ac:dyDescent="0.25">
      <c r="A190" s="40">
        <f>Investment_Master!J120</f>
        <v>38380000</v>
      </c>
      <c r="B190" s="40">
        <f>Investment_Master!Q120</f>
        <v>43306087.128351465</v>
      </c>
      <c r="C190" s="38"/>
      <c r="D190" s="38"/>
      <c r="E190" s="38"/>
      <c r="F190" s="38"/>
      <c r="G190" s="38"/>
      <c r="H190" s="38" t="str">
        <f>Investment_Master!B120</f>
        <v>Tier-2 City Expansion – Central</v>
      </c>
      <c r="I190" s="40">
        <f>NPV_IRR!K120</f>
        <v>-4690884.6980776489</v>
      </c>
      <c r="J190" s="39">
        <f>NPV_IRR!L120</f>
        <v>4.1651163749573783E-2</v>
      </c>
      <c r="K190" s="38"/>
      <c r="L190" s="38"/>
      <c r="M190" s="38"/>
      <c r="N190" s="38"/>
    </row>
    <row r="191" spans="1:14" ht="15" customHeight="1" x14ac:dyDescent="0.25">
      <c r="A191" s="40">
        <f>Investment_Master!J121</f>
        <v>24650000</v>
      </c>
      <c r="B191" s="40">
        <f>Investment_Master!Q121</f>
        <v>29591680.311326772</v>
      </c>
      <c r="C191" s="38"/>
      <c r="D191" s="38"/>
      <c r="E191" s="38"/>
      <c r="F191" s="38"/>
      <c r="G191" s="38"/>
      <c r="H191" s="38" t="str">
        <f>Investment_Master!B121</f>
        <v>Automated Packaging Line – South</v>
      </c>
      <c r="I191" s="40">
        <f>NPV_IRR!K121</f>
        <v>-2214849.9582516067</v>
      </c>
      <c r="J191" s="39">
        <f>NPV_IRR!L121</f>
        <v>6.416848021952104E-2</v>
      </c>
      <c r="K191" s="38"/>
      <c r="L191" s="38"/>
      <c r="M191" s="38"/>
      <c r="N191" s="38"/>
    </row>
    <row r="192" spans="1:14" ht="15" customHeight="1" x14ac:dyDescent="0.25">
      <c r="A192" s="40">
        <f>Investment_Master!J122</f>
        <v>24120000</v>
      </c>
      <c r="B192" s="40">
        <f>Investment_Master!Q122</f>
        <v>29143785.586598068</v>
      </c>
      <c r="C192" s="38"/>
      <c r="D192" s="38"/>
      <c r="E192" s="38"/>
      <c r="F192" s="38"/>
      <c r="G192" s="38"/>
      <c r="H192" s="38" t="str">
        <f>Investment_Master!B122</f>
        <v>RPA Finance Rollout – West</v>
      </c>
      <c r="I192" s="40">
        <f>NPV_IRR!K122</f>
        <v>-2577513.9534953497</v>
      </c>
      <c r="J192" s="39">
        <f>NPV_IRR!L122</f>
        <v>6.6572397276029927E-2</v>
      </c>
      <c r="K192" s="38"/>
      <c r="L192" s="38"/>
      <c r="M192" s="38"/>
      <c r="N192" s="38"/>
    </row>
    <row r="193" spans="1:14" ht="15" customHeight="1" x14ac:dyDescent="0.25">
      <c r="A193" s="40">
        <f>Investment_Master!J123</f>
        <v>6210000</v>
      </c>
      <c r="B193" s="40">
        <f>Investment_Master!Q123</f>
        <v>5713254.3005336868</v>
      </c>
      <c r="C193" s="38"/>
      <c r="D193" s="38"/>
      <c r="E193" s="38"/>
      <c r="F193" s="38"/>
      <c r="G193" s="38"/>
      <c r="H193" s="38" t="str">
        <f>Investment_Master!B123</f>
        <v>Leadership Development – North</v>
      </c>
      <c r="I193" s="40">
        <f>NPV_IRR!K123</f>
        <v>-2090999.3718981831</v>
      </c>
      <c r="J193" s="39">
        <f>NPV_IRR!L123</f>
        <v>-2.7162250223241924E-2</v>
      </c>
      <c r="K193" s="38"/>
      <c r="L193" s="38"/>
      <c r="M193" s="38"/>
      <c r="N193" s="38"/>
    </row>
    <row r="194" spans="1:14" ht="15" customHeight="1" x14ac:dyDescent="0.25">
      <c r="A194" s="40">
        <f>Investment_Master!J124</f>
        <v>33840000</v>
      </c>
      <c r="B194" s="40">
        <f>Investment_Master!Q124</f>
        <v>35980375.626006767</v>
      </c>
      <c r="C194" s="38"/>
      <c r="D194" s="38"/>
      <c r="E194" s="38"/>
      <c r="F194" s="38"/>
      <c r="G194" s="38"/>
      <c r="H194" s="38" t="str">
        <f>Investment_Master!B124</f>
        <v>Plant Utility Upgrade – East</v>
      </c>
      <c r="I194" s="40">
        <f>NPV_IRR!K124</f>
        <v>-6561213.623717472</v>
      </c>
      <c r="J194" s="39">
        <f>NPV_IRR!L124</f>
        <v>2.0797931149269866E-2</v>
      </c>
      <c r="K194" s="38"/>
      <c r="L194" s="38"/>
      <c r="M194" s="38"/>
      <c r="N194" s="38"/>
    </row>
    <row r="195" spans="1:14" ht="15" customHeight="1" x14ac:dyDescent="0.25">
      <c r="A195" s="40">
        <f>Investment_Master!J125</f>
        <v>28430000</v>
      </c>
      <c r="B195" s="40">
        <f>Investment_Master!Q125</f>
        <v>32577844.376429439</v>
      </c>
      <c r="C195" s="38"/>
      <c r="D195" s="38"/>
      <c r="E195" s="38"/>
      <c r="F195" s="38"/>
      <c r="G195" s="38"/>
      <c r="H195" s="38" t="str">
        <f>Investment_Master!B125</f>
        <v>ERP Cloud Migration – Central</v>
      </c>
      <c r="I195" s="40">
        <f>NPV_IRR!K125</f>
        <v>-3730867.7123967782</v>
      </c>
      <c r="J195" s="39">
        <f>NPV_IRR!L125</f>
        <v>4.7183352703328518E-2</v>
      </c>
      <c r="K195" s="38"/>
      <c r="L195" s="38"/>
      <c r="M195" s="38"/>
      <c r="N195" s="38"/>
    </row>
    <row r="196" spans="1:14" ht="15" customHeight="1" x14ac:dyDescent="0.25">
      <c r="A196" s="40">
        <f>Investment_Master!J126</f>
        <v>13420000</v>
      </c>
      <c r="B196" s="40">
        <f>Investment_Master!Q126</f>
        <v>16402986.64869881</v>
      </c>
      <c r="C196" s="38"/>
      <c r="D196" s="38"/>
      <c r="E196" s="38"/>
      <c r="F196" s="38"/>
      <c r="G196" s="38"/>
      <c r="H196" s="38" t="str">
        <f>Investment_Master!B126</f>
        <v>Brand Repositioning – South</v>
      </c>
      <c r="I196" s="40">
        <f>NPV_IRR!K126</f>
        <v>-1295250.1129060164</v>
      </c>
      <c r="J196" s="39">
        <f>NPV_IRR!L126</f>
        <v>7.0865015478487559E-2</v>
      </c>
      <c r="K196" s="38"/>
      <c r="L196" s="38"/>
      <c r="M196" s="38"/>
      <c r="N196" s="38"/>
    </row>
    <row r="197" spans="1:14" ht="15" customHeight="1" x14ac:dyDescent="0.25">
      <c r="A197" s="40">
        <f>Investment_Master!J127</f>
        <v>39910000</v>
      </c>
      <c r="B197" s="40">
        <f>Investment_Master!Q127</f>
        <v>41665292.823178299</v>
      </c>
      <c r="C197" s="38"/>
      <c r="D197" s="38"/>
      <c r="E197" s="38"/>
      <c r="F197" s="38"/>
      <c r="G197" s="38"/>
      <c r="H197" s="38" t="str">
        <f>Investment_Master!B127</f>
        <v>Premium Product Line – West</v>
      </c>
      <c r="I197" s="40">
        <f>NPV_IRR!K127</f>
        <v>-9111873.7030647397</v>
      </c>
      <c r="J197" s="39">
        <f>NPV_IRR!L127</f>
        <v>1.4520878933508952E-2</v>
      </c>
      <c r="K197" s="38"/>
      <c r="L197" s="38"/>
      <c r="M197" s="38"/>
      <c r="N197" s="38"/>
    </row>
    <row r="198" spans="1:14" ht="15" customHeight="1" x14ac:dyDescent="0.25">
      <c r="A198" s="40">
        <f>Investment_Master!J128</f>
        <v>54680000</v>
      </c>
      <c r="B198" s="40">
        <f>Investment_Master!Q128</f>
        <v>59780331.260815099</v>
      </c>
      <c r="C198" s="38"/>
      <c r="D198" s="38"/>
      <c r="E198" s="38"/>
      <c r="F198" s="38"/>
      <c r="G198" s="38"/>
      <c r="H198" s="38" t="str">
        <f>Investment_Master!B128</f>
        <v>Tier-2 City Expansion – North</v>
      </c>
      <c r="I198" s="40">
        <f>NPV_IRR!K128</f>
        <v>-8175071.7975572944</v>
      </c>
      <c r="J198" s="39">
        <f>NPV_IRR!L128</f>
        <v>3.0482052001857829E-2</v>
      </c>
      <c r="K198" s="38"/>
      <c r="L198" s="38"/>
      <c r="M198" s="38"/>
      <c r="N198" s="38"/>
    </row>
    <row r="199" spans="1:14" ht="15" customHeight="1" x14ac:dyDescent="0.25">
      <c r="A199" s="40">
        <f>Investment_Master!J129</f>
        <v>20260000</v>
      </c>
      <c r="B199" s="40">
        <f>Investment_Master!Q129</f>
        <v>24198117.019256622</v>
      </c>
      <c r="C199" s="38"/>
      <c r="D199" s="38"/>
      <c r="E199" s="38"/>
      <c r="F199" s="38"/>
      <c r="G199" s="38"/>
      <c r="H199" s="38" t="str">
        <f>Investment_Master!B129</f>
        <v>Automated Packaging Line – East</v>
      </c>
      <c r="I199" s="40">
        <f>NPV_IRR!K129</f>
        <v>-2814240.7254848182</v>
      </c>
      <c r="J199" s="39">
        <f>NPV_IRR!L129</f>
        <v>6.2287782274225822E-2</v>
      </c>
      <c r="K199" s="38"/>
      <c r="L199" s="38"/>
      <c r="M199" s="38"/>
      <c r="N199" s="38"/>
    </row>
    <row r="200" spans="1:14" ht="15" customHeight="1" x14ac:dyDescent="0.25">
      <c r="A200" s="40">
        <f>Investment_Master!J130</f>
        <v>25020000</v>
      </c>
      <c r="B200" s="40">
        <f>Investment_Master!Q130</f>
        <v>27823796.559547041</v>
      </c>
      <c r="C200" s="38"/>
      <c r="D200" s="38"/>
      <c r="E200" s="38"/>
      <c r="F200" s="38"/>
      <c r="G200" s="38"/>
      <c r="H200" s="38" t="str">
        <f>Investment_Master!B130</f>
        <v>RPA Finance Rollout – Central</v>
      </c>
      <c r="I200" s="40">
        <f>NPV_IRR!K130</f>
        <v>-4453222.6551769339</v>
      </c>
      <c r="J200" s="39">
        <f>NPV_IRR!L130</f>
        <v>3.6483018227810637E-2</v>
      </c>
      <c r="K200" s="38"/>
      <c r="L200" s="38"/>
      <c r="M200" s="38"/>
      <c r="N200" s="38"/>
    </row>
    <row r="201" spans="1:14" ht="15" customHeight="1" x14ac:dyDescent="0.25">
      <c r="A201" s="40">
        <f>Investment_Master!J131</f>
        <v>10260000</v>
      </c>
      <c r="B201" s="40">
        <f>Investment_Master!Q131</f>
        <v>10087925.580476489</v>
      </c>
      <c r="C201" s="38"/>
      <c r="D201" s="38"/>
      <c r="E201" s="38"/>
      <c r="F201" s="38"/>
      <c r="G201" s="38"/>
      <c r="H201" s="38" t="str">
        <f>Investment_Master!B131</f>
        <v>Leadership Development – South</v>
      </c>
      <c r="I201" s="40">
        <f>NPV_IRR!K131</f>
        <v>-2803213.1865694402</v>
      </c>
      <c r="J201" s="39">
        <f>NPV_IRR!L131</f>
        <v>-5.6115135284229289E-3</v>
      </c>
      <c r="K201" s="38"/>
      <c r="L201" s="38"/>
      <c r="M201" s="38"/>
      <c r="N201" s="38"/>
    </row>
    <row r="202" spans="1:14" ht="15" customHeight="1" x14ac:dyDescent="0.25">
      <c r="A202" s="40">
        <f>Investment_Master!J132</f>
        <v>41160000</v>
      </c>
      <c r="B202" s="40">
        <f>Investment_Master!Q132</f>
        <v>43266268.775094435</v>
      </c>
      <c r="C202" s="38"/>
      <c r="D202" s="38"/>
      <c r="E202" s="38"/>
      <c r="F202" s="38"/>
      <c r="G202" s="38"/>
      <c r="H202" s="38" t="str">
        <f>Investment_Master!B132</f>
        <v>Plant Utility Upgrade – West</v>
      </c>
      <c r="I202" s="40">
        <f>NPV_IRR!K132</f>
        <v>-9966956.7910553701</v>
      </c>
      <c r="J202" s="39">
        <f>NPV_IRR!L132</f>
        <v>1.6869456481582779E-2</v>
      </c>
      <c r="K202" s="38"/>
      <c r="L202" s="38"/>
      <c r="M202" s="38"/>
      <c r="N202" s="38"/>
    </row>
    <row r="203" spans="1:14" ht="15" customHeight="1" x14ac:dyDescent="0.25">
      <c r="A203" s="40">
        <f>Investment_Master!J133</f>
        <v>12250000</v>
      </c>
      <c r="B203" s="40">
        <f>Investment_Master!Q133</f>
        <v>15227677.062416812</v>
      </c>
      <c r="C203" s="38"/>
      <c r="D203" s="38"/>
      <c r="E203" s="38"/>
      <c r="F203" s="38"/>
      <c r="G203" s="38"/>
      <c r="H203" s="38" t="str">
        <f>Investment_Master!B133</f>
        <v>ERP Cloud Migration – North</v>
      </c>
      <c r="I203" s="40">
        <f>NPV_IRR!K133</f>
        <v>-994014.75185691006</v>
      </c>
      <c r="J203" s="39">
        <f>NPV_IRR!L133</f>
        <v>7.7206422640301975E-2</v>
      </c>
      <c r="K203" s="38"/>
      <c r="L203" s="38"/>
      <c r="M203" s="38"/>
      <c r="N203" s="38"/>
    </row>
    <row r="204" spans="1:14" ht="15" customHeight="1" x14ac:dyDescent="0.25">
      <c r="A204" s="40">
        <f>Investment_Master!J134</f>
        <v>16720000</v>
      </c>
      <c r="B204" s="40">
        <f>Investment_Master!Q134</f>
        <v>21514556.19670454</v>
      </c>
      <c r="C204" s="38"/>
      <c r="D204" s="38"/>
      <c r="E204" s="38"/>
      <c r="F204" s="38"/>
      <c r="G204" s="38"/>
      <c r="H204" s="38" t="str">
        <f>Investment_Master!B134</f>
        <v>Brand Repositioning – East</v>
      </c>
      <c r="I204" s="40">
        <f>NPV_IRR!K134</f>
        <v>-408581.00396758318</v>
      </c>
      <c r="J204" s="39">
        <f>NPV_IRR!L134</f>
        <v>9.0387727258110395E-2</v>
      </c>
      <c r="K204" s="38"/>
      <c r="L204" s="38"/>
      <c r="M204" s="38"/>
      <c r="N204" s="38"/>
    </row>
    <row r="205" spans="1:14" ht="15" customHeight="1" x14ac:dyDescent="0.25">
      <c r="A205" s="40">
        <f>Investment_Master!J135</f>
        <v>32900000</v>
      </c>
      <c r="B205" s="40">
        <f>Investment_Master!Q135</f>
        <v>33355370.13045115</v>
      </c>
      <c r="C205" s="38"/>
      <c r="D205" s="38"/>
      <c r="E205" s="38"/>
      <c r="F205" s="38"/>
      <c r="G205" s="38"/>
      <c r="H205" s="38" t="str">
        <f>Investment_Master!B135</f>
        <v>Premium Product Line – Central</v>
      </c>
      <c r="I205" s="40">
        <f>NPV_IRR!K135</f>
        <v>-8244397.4024543129</v>
      </c>
      <c r="J205" s="39">
        <f>NPV_IRR!L135</f>
        <v>4.5996073410998761E-3</v>
      </c>
      <c r="K205" s="38"/>
      <c r="L205" s="38"/>
      <c r="M205" s="38"/>
      <c r="N205" s="38"/>
    </row>
    <row r="206" spans="1:14" ht="15" customHeight="1" x14ac:dyDescent="0.25">
      <c r="A206" s="40">
        <f>Investment_Master!J136</f>
        <v>27850000</v>
      </c>
      <c r="B206" s="40">
        <f>Investment_Master!Q136</f>
        <v>32449141.778359421</v>
      </c>
      <c r="C206" s="38"/>
      <c r="D206" s="38"/>
      <c r="E206" s="38"/>
      <c r="F206" s="38"/>
      <c r="G206" s="38"/>
      <c r="H206" s="38" t="str">
        <f>Investment_Master!B136</f>
        <v>Tier-2 City Expansion – South</v>
      </c>
      <c r="I206" s="40">
        <f>NPV_IRR!K136</f>
        <v>-2606830.9374250621</v>
      </c>
      <c r="J206" s="39">
        <f>NPV_IRR!L136</f>
        <v>5.3209707200904788E-2</v>
      </c>
      <c r="K206" s="38"/>
      <c r="L206" s="38"/>
      <c r="M206" s="38"/>
      <c r="N206" s="38"/>
    </row>
    <row r="207" spans="1:14" ht="15" customHeight="1" x14ac:dyDescent="0.25">
      <c r="A207" s="40">
        <f>Investment_Master!J137</f>
        <v>18280000</v>
      </c>
      <c r="B207" s="40">
        <f>Investment_Master!Q137</f>
        <v>21634313.944086548</v>
      </c>
      <c r="C207" s="38"/>
      <c r="D207" s="38"/>
      <c r="E207" s="38"/>
      <c r="F207" s="38"/>
      <c r="G207" s="38"/>
      <c r="H207" s="38" t="str">
        <f>Investment_Master!B137</f>
        <v>Automated Packaging Line – West</v>
      </c>
      <c r="I207" s="40">
        <f>NPV_IRR!K137</f>
        <v>-1877785.787105605</v>
      </c>
      <c r="J207" s="39">
        <f>NPV_IRR!L137</f>
        <v>5.8919896332005006E-2</v>
      </c>
      <c r="K207" s="38"/>
      <c r="L207" s="38"/>
      <c r="M207" s="38"/>
      <c r="N207" s="38"/>
    </row>
    <row r="208" spans="1:14" ht="15" customHeight="1" x14ac:dyDescent="0.25">
      <c r="A208" s="40">
        <f>Investment_Master!J138</f>
        <v>12530000</v>
      </c>
      <c r="B208" s="40">
        <f>Investment_Master!Q138</f>
        <v>14791461.22836614</v>
      </c>
      <c r="C208" s="38"/>
      <c r="D208" s="38"/>
      <c r="E208" s="38"/>
      <c r="F208" s="38"/>
      <c r="G208" s="38"/>
      <c r="H208" s="38" t="str">
        <f>Investment_Master!B138</f>
        <v>RPA Finance Rollout – North</v>
      </c>
      <c r="I208" s="40">
        <f>NPV_IRR!K138</f>
        <v>-1866018.5132153854</v>
      </c>
      <c r="J208" s="39">
        <f>NPV_IRR!L138</f>
        <v>5.7985290778736376E-2</v>
      </c>
      <c r="K208" s="38"/>
      <c r="L208" s="38"/>
      <c r="M208" s="38"/>
      <c r="N208" s="38"/>
    </row>
    <row r="209" spans="1:14" ht="15" customHeight="1" x14ac:dyDescent="0.25">
      <c r="A209" s="40">
        <f>Investment_Master!J139</f>
        <v>3300000</v>
      </c>
      <c r="B209" s="40">
        <f>Investment_Master!Q139</f>
        <v>3156110.8005987769</v>
      </c>
      <c r="C209" s="38"/>
      <c r="D209" s="38"/>
      <c r="E209" s="38"/>
      <c r="F209" s="38"/>
      <c r="G209" s="38"/>
      <c r="H209" s="38" t="str">
        <f>Investment_Master!B139</f>
        <v>Leadership Development – East</v>
      </c>
      <c r="I209" s="40">
        <f>NPV_IRR!K139</f>
        <v>-967067.9009391428</v>
      </c>
      <c r="J209" s="39">
        <f>NPV_IRR!L139</f>
        <v>-1.4678961529182466E-2</v>
      </c>
      <c r="K209" s="38"/>
      <c r="L209" s="38"/>
      <c r="M209" s="38"/>
      <c r="N209" s="38"/>
    </row>
    <row r="210" spans="1:14" ht="15" customHeight="1" x14ac:dyDescent="0.25">
      <c r="A210" s="40">
        <f>Investment_Master!J140</f>
        <v>40580000</v>
      </c>
      <c r="B210" s="40">
        <f>Investment_Master!Q140</f>
        <v>43177780.944273643</v>
      </c>
      <c r="C210" s="38"/>
      <c r="D210" s="38"/>
      <c r="E210" s="38"/>
      <c r="F210" s="38"/>
      <c r="G210" s="38"/>
      <c r="H210" s="38" t="str">
        <f>Investment_Master!B140</f>
        <v>Plant Utility Upgrade – Central</v>
      </c>
      <c r="I210" s="40">
        <f>NPV_IRR!K140</f>
        <v>-7844447.8528062627</v>
      </c>
      <c r="J210" s="39">
        <f>NPV_IRR!L140</f>
        <v>2.1046576474892831E-2</v>
      </c>
      <c r="K210" s="38"/>
      <c r="L210" s="38"/>
      <c r="M210" s="38"/>
      <c r="N210" s="38"/>
    </row>
    <row r="211" spans="1:14" ht="15" customHeight="1" x14ac:dyDescent="0.25">
      <c r="A211" s="40">
        <f>Investment_Master!J141</f>
        <v>11500000</v>
      </c>
      <c r="B211" s="40">
        <f>Investment_Master!Q141</f>
        <v>14907204.173804907</v>
      </c>
      <c r="C211" s="38"/>
      <c r="D211" s="38"/>
      <c r="E211" s="38"/>
      <c r="F211" s="38"/>
      <c r="G211" s="38"/>
      <c r="H211" s="38" t="str">
        <f>Investment_Master!B141</f>
        <v>ERP Cloud Migration – South</v>
      </c>
      <c r="I211" s="40">
        <f>NPV_IRR!K141</f>
        <v>-752573.03015398979</v>
      </c>
      <c r="J211" s="39">
        <f>NPV_IRR!L141</f>
        <v>9.3237519594656426E-2</v>
      </c>
      <c r="K211" s="38"/>
      <c r="L211" s="38"/>
      <c r="M211" s="38"/>
      <c r="N211" s="38"/>
    </row>
    <row r="212" spans="1:14" ht="15" customHeight="1" x14ac:dyDescent="0.25">
      <c r="A212" s="40">
        <f>Investment_Master!J142</f>
        <v>15570000</v>
      </c>
      <c r="B212" s="40">
        <f>Investment_Master!Q142</f>
        <v>18031066.765418798</v>
      </c>
      <c r="C212" s="38"/>
      <c r="D212" s="38"/>
      <c r="E212" s="38"/>
      <c r="F212" s="38"/>
      <c r="G212" s="38"/>
      <c r="H212" s="38" t="str">
        <f>Investment_Master!B142</f>
        <v>Brand Repositioning – West</v>
      </c>
      <c r="I212" s="40">
        <f>NPV_IRR!K142</f>
        <v>-2241806.8233300578</v>
      </c>
      <c r="J212" s="39">
        <f>NPV_IRR!L142</f>
        <v>5.0998873366667752E-2</v>
      </c>
      <c r="K212" s="38"/>
      <c r="L212" s="38"/>
      <c r="M212" s="38"/>
      <c r="N212" s="38"/>
    </row>
    <row r="213" spans="1:14" ht="15" customHeight="1" x14ac:dyDescent="0.25">
      <c r="A213" s="40">
        <f>Investment_Master!J143</f>
        <v>16640000</v>
      </c>
      <c r="B213" s="40">
        <f>Investment_Master!Q143</f>
        <v>17775087.520104289</v>
      </c>
      <c r="C213" s="38"/>
      <c r="D213" s="38"/>
      <c r="E213" s="38"/>
      <c r="F213" s="38"/>
      <c r="G213" s="38"/>
      <c r="H213" s="38" t="str">
        <f>Investment_Master!B143</f>
        <v>Premium Product Line – North</v>
      </c>
      <c r="I213" s="40">
        <f>NPV_IRR!K143</f>
        <v>-3163686.6807422917</v>
      </c>
      <c r="J213" s="39">
        <f>NPV_IRR!L143</f>
        <v>2.2407175795362999E-2</v>
      </c>
      <c r="K213" s="38"/>
      <c r="L213" s="38"/>
      <c r="M213" s="38"/>
      <c r="N213" s="38"/>
    </row>
    <row r="214" spans="1:14" ht="15" customHeight="1" x14ac:dyDescent="0.25">
      <c r="A214" s="40">
        <f>Investment_Master!J144</f>
        <v>65110000</v>
      </c>
      <c r="B214" s="40">
        <f>Investment_Master!Q144</f>
        <v>67967165.500453338</v>
      </c>
      <c r="C214" s="38"/>
      <c r="D214" s="38"/>
      <c r="E214" s="38"/>
      <c r="F214" s="38"/>
      <c r="G214" s="38"/>
      <c r="H214" s="38" t="str">
        <f>Investment_Master!B144</f>
        <v>Tier-2 City Expansion – East</v>
      </c>
      <c r="I214" s="40">
        <f>NPV_IRR!K144</f>
        <v>-12236285.768945299</v>
      </c>
      <c r="J214" s="39">
        <f>NPV_IRR!L144</f>
        <v>1.448844984777975E-2</v>
      </c>
      <c r="K214" s="38"/>
      <c r="L214" s="38"/>
      <c r="M214" s="38"/>
      <c r="N214" s="38"/>
    </row>
    <row r="215" spans="1:14" ht="15" customHeight="1" x14ac:dyDescent="0.25">
      <c r="A215" s="40">
        <f>Investment_Master!J145</f>
        <v>17330000</v>
      </c>
      <c r="B215" s="40">
        <f>Investment_Master!Q145</f>
        <v>18089593.22945838</v>
      </c>
      <c r="C215" s="38"/>
      <c r="D215" s="38"/>
      <c r="E215" s="38"/>
      <c r="F215" s="38"/>
      <c r="G215" s="38"/>
      <c r="H215" s="38" t="str">
        <f>Investment_Master!B145</f>
        <v>Automated Packaging Line – Central</v>
      </c>
      <c r="I215" s="40">
        <f>NPV_IRR!K145</f>
        <v>-3615241.864357708</v>
      </c>
      <c r="J215" s="39">
        <f>NPV_IRR!L145</f>
        <v>1.4471763538431937E-2</v>
      </c>
      <c r="K215" s="38"/>
      <c r="L215" s="38"/>
      <c r="M215" s="38"/>
      <c r="N215" s="38"/>
    </row>
    <row r="216" spans="1:14" ht="15" customHeight="1" x14ac:dyDescent="0.25">
      <c r="A216" s="40">
        <f>Investment_Master!J146</f>
        <v>22060000</v>
      </c>
      <c r="B216" s="40">
        <f>Investment_Master!Q146</f>
        <v>25162402.356128789</v>
      </c>
      <c r="C216" s="38"/>
      <c r="D216" s="38"/>
      <c r="E216" s="38"/>
      <c r="F216" s="38"/>
      <c r="G216" s="38"/>
      <c r="H216" s="38" t="str">
        <f>Investment_Master!B146</f>
        <v>RPA Finance Rollout – South</v>
      </c>
      <c r="I216" s="40">
        <f>NPV_IRR!K146</f>
        <v>-2982939.6123710088</v>
      </c>
      <c r="J216" s="39">
        <f>NPV_IRR!L146</f>
        <v>4.5528069457679399E-2</v>
      </c>
      <c r="K216" s="38"/>
      <c r="L216" s="38"/>
      <c r="M216" s="38"/>
      <c r="N216" s="38"/>
    </row>
    <row r="217" spans="1:14" ht="15" customHeight="1" x14ac:dyDescent="0.25">
      <c r="A217" s="40">
        <f>Investment_Master!J147</f>
        <v>10700000</v>
      </c>
      <c r="B217" s="40">
        <f>Investment_Master!Q147</f>
        <v>10796028.377509408</v>
      </c>
      <c r="C217" s="38"/>
      <c r="D217" s="38"/>
      <c r="E217" s="38"/>
      <c r="F217" s="38"/>
      <c r="G217" s="38"/>
      <c r="H217" s="38" t="str">
        <f>Investment_Master!B147</f>
        <v>Leadership Development – West</v>
      </c>
      <c r="I217" s="40">
        <f>NPV_IRR!K147</f>
        <v>-2719798.1834207978</v>
      </c>
      <c r="J217" s="39">
        <f>NPV_IRR!L147</f>
        <v>2.9856045600713532E-3</v>
      </c>
      <c r="K217" s="38"/>
      <c r="L217" s="38"/>
      <c r="M217" s="38"/>
      <c r="N217" s="38"/>
    </row>
    <row r="218" spans="1:14" ht="15" customHeight="1" x14ac:dyDescent="0.25">
      <c r="A218" s="40">
        <f>Investment_Master!J148</f>
        <v>36800000</v>
      </c>
      <c r="B218" s="40">
        <f>Investment_Master!Q148</f>
        <v>36949928.811872005</v>
      </c>
      <c r="C218" s="38"/>
      <c r="D218" s="38"/>
      <c r="E218" s="38"/>
      <c r="F218" s="38"/>
      <c r="G218" s="38"/>
      <c r="H218" s="38" t="str">
        <f>Investment_Master!B148</f>
        <v>Plant Utility Upgrade – North</v>
      </c>
      <c r="I218" s="40">
        <f>NPV_IRR!K148</f>
        <v>-8786139.745874323</v>
      </c>
      <c r="J218" s="39">
        <f>NPV_IRR!L148</f>
        <v>1.3568243501460575E-3</v>
      </c>
      <c r="K218" s="38"/>
      <c r="L218" s="38"/>
      <c r="M218" s="38"/>
      <c r="N218" s="38"/>
    </row>
    <row r="219" spans="1:14" ht="15" customHeight="1" x14ac:dyDescent="0.25">
      <c r="A219" s="40">
        <f>Investment_Master!J149</f>
        <v>9940000</v>
      </c>
      <c r="B219" s="40">
        <f>Investment_Master!Q149</f>
        <v>11580318.994182719</v>
      </c>
      <c r="C219" s="38"/>
      <c r="D219" s="38"/>
      <c r="E219" s="38"/>
      <c r="F219" s="38"/>
      <c r="G219" s="38"/>
      <c r="H219" s="38" t="str">
        <f>Investment_Master!B149</f>
        <v>ERP Cloud Migration – East</v>
      </c>
      <c r="I219" s="40">
        <f>NPV_IRR!K149</f>
        <v>-1160295.9942645635</v>
      </c>
      <c r="J219" s="39">
        <f>NPV_IRR!L149</f>
        <v>5.3172971183625517E-2</v>
      </c>
      <c r="K219" s="38"/>
      <c r="L219" s="38"/>
      <c r="M219" s="38"/>
      <c r="N219" s="38"/>
    </row>
    <row r="220" spans="1:14" ht="15" customHeight="1" x14ac:dyDescent="0.25">
      <c r="A220" s="40">
        <f>Investment_Master!J150</f>
        <v>20540000</v>
      </c>
      <c r="B220" s="40">
        <f>Investment_Master!Q150</f>
        <v>23081575.763520308</v>
      </c>
      <c r="C220" s="38"/>
      <c r="D220" s="38"/>
      <c r="E220" s="38"/>
      <c r="F220" s="38"/>
      <c r="G220" s="38"/>
      <c r="H220" s="38" t="str">
        <f>Investment_Master!B150</f>
        <v>Brand Repositioning – Central</v>
      </c>
      <c r="I220" s="40">
        <f>NPV_IRR!K150</f>
        <v>-3899216.9950077534</v>
      </c>
      <c r="J220" s="39">
        <f>NPV_IRR!L150</f>
        <v>4.0190871510462856E-2</v>
      </c>
      <c r="K220" s="38"/>
      <c r="L220" s="38"/>
      <c r="M220" s="38"/>
      <c r="N220" s="38"/>
    </row>
    <row r="221" spans="1:14" ht="15" customHeight="1" x14ac:dyDescent="0.25">
      <c r="A221" s="40">
        <f>Investment_Master!J151</f>
        <v>25030000</v>
      </c>
      <c r="B221" s="40">
        <f>Investment_Master!Q151</f>
        <v>25351591.319831938</v>
      </c>
      <c r="C221" s="38"/>
      <c r="D221" s="38"/>
      <c r="E221" s="38"/>
      <c r="F221" s="38"/>
      <c r="G221" s="38"/>
      <c r="H221" s="38" t="str">
        <f>Investment_Master!B151</f>
        <v>Premium Product Line – South</v>
      </c>
      <c r="I221" s="40">
        <f>NPV_IRR!K151</f>
        <v>-5809504.608266212</v>
      </c>
      <c r="J221" s="39">
        <f>NPV_IRR!L151</f>
        <v>4.2706122025275572E-3</v>
      </c>
      <c r="K221" s="38"/>
      <c r="L221" s="38"/>
      <c r="M221" s="38"/>
      <c r="N221" s="38"/>
    </row>
    <row r="222" spans="1:14" ht="15" customHeight="1" x14ac:dyDescent="0.25">
      <c r="A222" s="40">
        <f>Investment_Master!J152</f>
        <v>22800000</v>
      </c>
      <c r="B222" s="40">
        <f>Investment_Master!Q152</f>
        <v>26861585.69104936</v>
      </c>
      <c r="C222" s="38"/>
      <c r="D222" s="38"/>
      <c r="E222" s="38"/>
      <c r="F222" s="38"/>
      <c r="G222" s="38"/>
      <c r="H222" s="38" t="str">
        <f>Investment_Master!B152</f>
        <v>Tier-2 City Expansion – West</v>
      </c>
      <c r="I222" s="40">
        <f>NPV_IRR!K152</f>
        <v>-1903559.8562358953</v>
      </c>
      <c r="J222" s="39">
        <f>NPV_IRR!L152</f>
        <v>5.7257429565497064E-2</v>
      </c>
      <c r="K222" s="38"/>
      <c r="L222" s="38"/>
      <c r="M222" s="38"/>
      <c r="N222" s="38"/>
    </row>
    <row r="223" spans="1:14" ht="15" customHeight="1" x14ac:dyDescent="0.25">
      <c r="A223" s="40">
        <f>Investment_Master!J153</f>
        <v>36690000</v>
      </c>
      <c r="B223" s="40">
        <f>Investment_Master!Q153</f>
        <v>42390755.447267435</v>
      </c>
      <c r="C223" s="38"/>
      <c r="D223" s="38"/>
      <c r="E223" s="38"/>
      <c r="F223" s="38"/>
      <c r="G223" s="38"/>
      <c r="H223" s="38" t="str">
        <f>Investment_Master!B153</f>
        <v>Automated Packaging Line – North</v>
      </c>
      <c r="I223" s="40">
        <f>NPV_IRR!K153</f>
        <v>-5355626.6733072996</v>
      </c>
      <c r="J223" s="39">
        <f>NPV_IRR!L153</f>
        <v>5.0157321332374494E-2</v>
      </c>
      <c r="K223" s="38"/>
      <c r="L223" s="38"/>
      <c r="M223" s="38"/>
      <c r="N223" s="38"/>
    </row>
    <row r="224" spans="1:14" ht="15" customHeight="1" x14ac:dyDescent="0.25">
      <c r="A224" s="40">
        <f>Investment_Master!J154</f>
        <v>17760000</v>
      </c>
      <c r="B224" s="40">
        <f>Investment_Master!Q154</f>
        <v>21153284.914937772</v>
      </c>
      <c r="C224" s="38"/>
      <c r="D224" s="38"/>
      <c r="E224" s="38"/>
      <c r="F224" s="38"/>
      <c r="G224" s="38"/>
      <c r="H224" s="38" t="str">
        <f>Investment_Master!B154</f>
        <v>RPA Finance Rollout – East</v>
      </c>
      <c r="I224" s="40">
        <f>NPV_IRR!K154</f>
        <v>-2123927.4738784153</v>
      </c>
      <c r="J224" s="39">
        <f>NPV_IRR!L154</f>
        <v>6.1263036341589139E-2</v>
      </c>
      <c r="K224" s="38"/>
      <c r="L224" s="38"/>
      <c r="M224" s="38"/>
      <c r="N224" s="38"/>
    </row>
  </sheetData>
  <mergeCells count="24">
    <mergeCell ref="F107:N107"/>
    <mergeCell ref="A65:N65"/>
    <mergeCell ref="A66:N66"/>
    <mergeCell ref="F104:N104"/>
    <mergeCell ref="F105:N105"/>
    <mergeCell ref="F106:N106"/>
    <mergeCell ref="A8:N8"/>
    <mergeCell ref="A61:N61"/>
    <mergeCell ref="A62:N62"/>
    <mergeCell ref="A63:N63"/>
    <mergeCell ref="A64:N64"/>
    <mergeCell ref="A6:C7"/>
    <mergeCell ref="D6:F7"/>
    <mergeCell ref="G6:I7"/>
    <mergeCell ref="J6:L7"/>
    <mergeCell ref="M6:N6"/>
    <mergeCell ref="M7:N7"/>
    <mergeCell ref="A1:N2"/>
    <mergeCell ref="A3:N3"/>
    <mergeCell ref="A5:C5"/>
    <mergeCell ref="D5:F5"/>
    <mergeCell ref="G5:I5"/>
    <mergeCell ref="J5:L5"/>
    <mergeCell ref="M5:N5"/>
  </mergeCells>
  <dataValidations count="6">
    <dataValidation type="list" sqref="A10">
      <formula1>"All,FY2025-26"</formula1>
      <formula2>0</formula2>
    </dataValidation>
    <dataValidation type="list" sqref="C10">
      <formula1>"All,Sales,Marketing,Operations,IT,HR,Finance,Product,Supply Chain"</formula1>
      <formula2>0</formula2>
    </dataValidation>
    <dataValidation type="list" sqref="E10">
      <formula1>"All,North,South,East,West,Central"</formula1>
      <formula2>0</formula2>
    </dataValidation>
    <dataValidation type="list" sqref="G10">
      <formula1>"All,Technology,Marketing,Product Development,Expansion,Equipment,Automation,Training,Infrastructure"</formula1>
      <formula2>0</formula2>
    </dataValidation>
    <dataValidation type="list" sqref="I10">
      <formula1>"All,Low,Medium,High"</formula1>
      <formula2>0</formula2>
    </dataValidation>
    <dataValidation type="list" sqref="K10">
      <formula1>"All,Completed,Active,On Hold,Cancelled"</formula1>
      <formula2>0</formula2>
    </dataValidation>
  </dataValidations>
  <pageMargins left="0.75" right="0.75" top="1" bottom="1" header="0.511811023622047" footer="0.511811023622047"/>
  <pageSetup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Raw_Data</vt:lpstr>
      <vt:lpstr>Investment_Master</vt:lpstr>
      <vt:lpstr>ROI_Analysis</vt:lpstr>
      <vt:lpstr>NPV_IRR</vt:lpstr>
      <vt:lpstr>Budget_vs_Actual</vt:lpstr>
      <vt:lpstr>Department_Analysis</vt:lpstr>
      <vt:lpstr>Risk_Return</vt:lpstr>
      <vt:lpstr>Scenario_Analysis</vt:lpstr>
      <vt:lpstr>KPI_Summary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2026-08-24T13:16:06Z</dcterms:created>
  <dcterms:modified xsi:type="dcterms:W3CDTF">2026-08-24T13:16:06Z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2026-08-24T12:59:51Z</dcterms:created>
  <dc:creator>openpyxl</dc:creator>
  <dc:description/>
  <dc:language>en-US</dc:language>
  <cp:lastModifiedBy/>
  <dcterms:modified xsi:type="dcterms:W3CDTF">2026-08-24T13:09:45Z</dcterms:modified>
  <cp:revision>0</cp:revision>
  <dc:subject/>
  <dc:title/>
</cp:coreProperties>
</file>